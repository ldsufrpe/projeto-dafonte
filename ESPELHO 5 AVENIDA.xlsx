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640" windowHeight="11160"/>
  </bookViews>
  <sheets>
    <sheet name="ESPELHO" sheetId="1" r:id="rId1"/>
    <sheet name="ASSINATURA" sheetId="2" r:id="rId2"/>
    <sheet name="planilha1" sheetId="5" r:id="rId3"/>
  </sheets>
  <definedNames>
    <definedName name="_xlnm.Print_Area" localSheetId="0">ESPELHO!$A$1:$M$58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9" i="1" l="1"/>
  <c r="D12" i="1" l="1"/>
  <c r="F18" i="1" l="1"/>
  <c r="F17" i="1"/>
  <c r="D51" i="1" l="1"/>
  <c r="G51" i="1"/>
  <c r="G52" i="1"/>
  <c r="F19" i="1" l="1"/>
  <c r="F20" i="1"/>
  <c r="F21" i="1"/>
  <c r="F22" i="1"/>
  <c r="F23" i="1"/>
  <c r="F24" i="1"/>
  <c r="G31" i="1" l="1"/>
  <c r="J30" i="1" l="1"/>
  <c r="G30" i="1"/>
  <c r="D30" i="1"/>
  <c r="D58" i="5"/>
  <c r="D62" i="5" s="1"/>
  <c r="C58" i="5"/>
  <c r="C62" i="5" s="1"/>
  <c r="B58" i="5"/>
  <c r="B62" i="5" s="1"/>
  <c r="F40" i="5"/>
  <c r="H40" i="5" s="1"/>
  <c r="F39" i="5"/>
  <c r="H39" i="5" s="1"/>
  <c r="A39" i="5"/>
  <c r="A38" i="5"/>
  <c r="J35" i="5"/>
  <c r="C64" i="5" s="1"/>
  <c r="G35" i="5"/>
  <c r="D64" i="5" s="1"/>
  <c r="D35" i="5"/>
  <c r="B64" i="5" s="1"/>
  <c r="L34" i="5"/>
  <c r="I34" i="5"/>
  <c r="F34" i="5"/>
  <c r="L33" i="5"/>
  <c r="I33" i="5"/>
  <c r="F33" i="5"/>
  <c r="L32" i="5"/>
  <c r="I32" i="5"/>
  <c r="F32" i="5"/>
  <c r="L31" i="5"/>
  <c r="I31" i="5"/>
  <c r="F31" i="5"/>
  <c r="L30" i="5"/>
  <c r="I30" i="5"/>
  <c r="F30" i="5"/>
  <c r="L29" i="5"/>
  <c r="I29" i="5"/>
  <c r="F29" i="5"/>
  <c r="L28" i="5"/>
  <c r="I28" i="5"/>
  <c r="F28" i="5"/>
  <c r="L27" i="5"/>
  <c r="I27" i="5"/>
  <c r="F27" i="5"/>
  <c r="L26" i="5"/>
  <c r="I26" i="5"/>
  <c r="F26" i="5"/>
  <c r="L25" i="5"/>
  <c r="I25" i="5"/>
  <c r="F25" i="5"/>
  <c r="L24" i="5"/>
  <c r="I24" i="5"/>
  <c r="F24" i="5"/>
  <c r="L23" i="5"/>
  <c r="I23" i="5"/>
  <c r="F23" i="5"/>
  <c r="L22" i="5"/>
  <c r="I22" i="5"/>
  <c r="F22" i="5"/>
  <c r="L21" i="5"/>
  <c r="I21" i="5"/>
  <c r="F21" i="5"/>
  <c r="L20" i="5"/>
  <c r="I20" i="5"/>
  <c r="F20" i="5"/>
  <c r="L19" i="5"/>
  <c r="I19" i="5"/>
  <c r="F19" i="5"/>
  <c r="L18" i="5"/>
  <c r="I18" i="5"/>
  <c r="F18" i="5"/>
  <c r="L17" i="5"/>
  <c r="I17" i="5"/>
  <c r="F17" i="5"/>
  <c r="L16" i="5"/>
  <c r="I16" i="5"/>
  <c r="F16" i="5"/>
  <c r="L15" i="5"/>
  <c r="I15" i="5"/>
  <c r="F15" i="5"/>
  <c r="L14" i="5"/>
  <c r="I14" i="5"/>
  <c r="F14" i="5"/>
  <c r="L13" i="5"/>
  <c r="I13" i="5"/>
  <c r="F13" i="5"/>
  <c r="L12" i="5"/>
  <c r="I12" i="5"/>
  <c r="F12" i="5"/>
  <c r="L11" i="5"/>
  <c r="I11" i="5"/>
  <c r="F11" i="5"/>
  <c r="J52" i="1" l="1"/>
  <c r="J56" i="1" s="1"/>
  <c r="D52" i="1"/>
  <c r="D56" i="1" s="1"/>
  <c r="G56" i="1"/>
  <c r="G58" i="1"/>
  <c r="D31" i="1"/>
  <c r="D58" i="1" s="1"/>
  <c r="M13" i="5"/>
  <c r="M21" i="5"/>
  <c r="M17" i="5"/>
  <c r="M29" i="5"/>
  <c r="M25" i="5"/>
  <c r="M33" i="5"/>
  <c r="M11" i="5"/>
  <c r="M15" i="5"/>
  <c r="M19" i="5"/>
  <c r="M23" i="5"/>
  <c r="M27" i="5"/>
  <c r="M31" i="5"/>
  <c r="M14" i="5"/>
  <c r="M18" i="5"/>
  <c r="M22" i="5"/>
  <c r="M26" i="5"/>
  <c r="M30" i="5"/>
  <c r="M34" i="5"/>
  <c r="B67" i="5"/>
  <c r="M12" i="5"/>
  <c r="M16" i="5"/>
  <c r="M20" i="5"/>
  <c r="M24" i="5"/>
  <c r="M28" i="5"/>
  <c r="M32" i="5"/>
  <c r="C67" i="5"/>
  <c r="H41" i="5"/>
  <c r="D67" i="5"/>
  <c r="M35" i="5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8" i="1"/>
  <c r="L58" i="1" l="1"/>
  <c r="F8" i="1" l="1"/>
  <c r="M8" i="1" s="1"/>
  <c r="F29" i="1" l="1"/>
  <c r="M29" i="1" s="1"/>
  <c r="F28" i="1"/>
  <c r="M28" i="1" s="1"/>
  <c r="F27" i="1"/>
  <c r="M27" i="1" s="1"/>
  <c r="F26" i="1"/>
  <c r="M26" i="1" s="1"/>
  <c r="F25" i="1"/>
  <c r="M25" i="1" s="1"/>
  <c r="M24" i="1"/>
  <c r="M23" i="1"/>
  <c r="M22" i="1"/>
  <c r="M21" i="1"/>
  <c r="M20" i="1"/>
  <c r="M19" i="1"/>
  <c r="M18" i="1"/>
  <c r="M17" i="1"/>
  <c r="F16" i="1"/>
  <c r="M16" i="1" s="1"/>
  <c r="F15" i="1"/>
  <c r="M15" i="1" s="1"/>
  <c r="F14" i="1"/>
  <c r="M14" i="1" s="1"/>
  <c r="F13" i="1"/>
  <c r="M13" i="1" s="1"/>
  <c r="F12" i="1"/>
  <c r="M12" i="1" s="1"/>
  <c r="F11" i="1"/>
  <c r="M11" i="1" s="1"/>
  <c r="F10" i="1"/>
  <c r="M10" i="1" s="1"/>
  <c r="F9" i="1"/>
  <c r="M9" i="1" s="1"/>
  <c r="M30" i="1" l="1"/>
  <c r="F30" i="1"/>
</calcChain>
</file>

<file path=xl/sharedStrings.xml><?xml version="1.0" encoding="utf-8"?>
<sst xmlns="http://schemas.openxmlformats.org/spreadsheetml/2006/main" count="103" uniqueCount="62">
  <si>
    <t>UNIDADE</t>
  </si>
  <si>
    <t>PREÇO UNIT.</t>
  </si>
  <si>
    <t>TOTAL</t>
  </si>
  <si>
    <t>EDF. 5 AVENIDA</t>
  </si>
  <si>
    <t>CONDOMINIO</t>
  </si>
  <si>
    <t>COMISSÃO</t>
  </si>
  <si>
    <t>GIORGIA DUARTE EMERECIANO</t>
  </si>
  <si>
    <t>ROMUALDO ROMANA CAVALCANTI</t>
  </si>
  <si>
    <t>LUIZ DE SÁ MONTEIRO</t>
  </si>
  <si>
    <t>JULIANO MOTA</t>
  </si>
  <si>
    <t>MARIA DAS GRAÇAS CARNEIRO</t>
  </si>
  <si>
    <t>ROBERTO BEZERRA DA SILVA</t>
  </si>
  <si>
    <t>HENRIQUE GUERRA</t>
  </si>
  <si>
    <t>JOSE AMERICO MENDONÇA</t>
  </si>
  <si>
    <t>DEIVY RUSHANSKY</t>
  </si>
  <si>
    <t>ASSINATURA</t>
  </si>
  <si>
    <t>INDAIÁ</t>
  </si>
  <si>
    <t>CLIENTE</t>
  </si>
  <si>
    <t>ANA HELENA T. DE MELO DA SILVA</t>
  </si>
  <si>
    <t>BONIFICAÇÃO</t>
  </si>
  <si>
    <t>DIF. ESTOQUE</t>
  </si>
  <si>
    <t>VALOR COMISSÃO APAGAR</t>
  </si>
  <si>
    <t>Obs:</t>
  </si>
  <si>
    <t>BONIF.</t>
  </si>
  <si>
    <t>S/EXCEDENTE</t>
  </si>
  <si>
    <t>INDAIÁ 20 L</t>
  </si>
  <si>
    <t xml:space="preserve">INDAIÁ 10L </t>
  </si>
  <si>
    <t>TOTAL GERAL</t>
  </si>
  <si>
    <t>CRYSTAL</t>
  </si>
  <si>
    <t>PREÇO CRYSTAL</t>
  </si>
  <si>
    <t xml:space="preserve">TOTAL </t>
  </si>
  <si>
    <t>ARNALDO XAVIER C. DE ALBUQUERQUE NETO</t>
  </si>
  <si>
    <t>10 L</t>
  </si>
  <si>
    <t>INICIAL</t>
  </si>
  <si>
    <t>10 LITROS</t>
  </si>
  <si>
    <t>20L</t>
  </si>
  <si>
    <t>ABAST</t>
  </si>
  <si>
    <t>EST.FINAL</t>
  </si>
  <si>
    <t>RESULTADO</t>
  </si>
  <si>
    <t>DIFERENCA</t>
  </si>
  <si>
    <t>CPF/CNPJ</t>
  </si>
  <si>
    <t>IND-20LT</t>
  </si>
  <si>
    <t>R$</t>
  </si>
  <si>
    <t>IND-10LT</t>
  </si>
  <si>
    <t>CRY-20L</t>
  </si>
  <si>
    <r>
      <t xml:space="preserve">CONDOMINIO </t>
    </r>
    <r>
      <rPr>
        <b/>
        <sz val="14"/>
        <color rgb="FFFF0000"/>
        <rFont val="Calibri"/>
        <family val="2"/>
        <scheme val="minor"/>
      </rPr>
      <t>NF+BOLETO E-MAIL</t>
    </r>
  </si>
  <si>
    <t>CONS. FUNCIONARIO</t>
  </si>
  <si>
    <t>VENDAS+CONS. FUNC.</t>
  </si>
  <si>
    <t>5 AVENIDA</t>
  </si>
  <si>
    <t>Estefânia maria de Nazaré moura bezerra</t>
  </si>
  <si>
    <t>*DIFERENÇA DE ESTOQUE*</t>
  </si>
  <si>
    <r>
      <t xml:space="preserve">CONDOMINIO </t>
    </r>
    <r>
      <rPr>
        <b/>
        <sz val="11"/>
        <color rgb="FFFF0000"/>
        <rFont val="Calibri"/>
        <family val="2"/>
        <scheme val="minor"/>
      </rPr>
      <t>NF+BOLETO E-MAIL</t>
    </r>
  </si>
  <si>
    <t>DEIVY RUSHANSKY ( SE TIVER CONSUMO NO DIA 1 BOTAR PARA O MÊS SEGUINTE O FATURAMENTO)</t>
  </si>
  <si>
    <t>IAIÁ</t>
  </si>
  <si>
    <t>PEDRO JORDE LIMA DE SOUZA</t>
  </si>
  <si>
    <t>CPF</t>
  </si>
  <si>
    <t>OBS</t>
  </si>
  <si>
    <t>DATA</t>
  </si>
  <si>
    <t xml:space="preserve">ESTOQUE INICIAL  </t>
  </si>
  <si>
    <t xml:space="preserve">ESTOQUE FINAL  </t>
  </si>
  <si>
    <t>EDF. 5 AVENIDA                                                   FECHAR ESTOQUE ANTES</t>
  </si>
  <si>
    <t xml:space="preserve">CONSUMO DO MÊS DE DEZEMBRO/2025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</si>
</sst>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5" fillId="2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1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4" fontId="8" fillId="0" borderId="0" xfId="1" applyFont="1"/>
    <xf numFmtId="0" fontId="9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44" fontId="10" fillId="0" borderId="0" xfId="1" applyFont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4" fontId="10" fillId="0" borderId="3" xfId="1" applyFont="1" applyBorder="1"/>
    <xf numFmtId="0" fontId="10" fillId="0" borderId="6" xfId="0" applyFont="1" applyBorder="1" applyAlignment="1">
      <alignment horizontal="center"/>
    </xf>
    <xf numFmtId="44" fontId="10" fillId="0" borderId="7" xfId="1" applyFont="1" applyBorder="1"/>
    <xf numFmtId="0" fontId="10" fillId="0" borderId="5" xfId="0" applyFont="1" applyBorder="1" applyAlignment="1">
      <alignment horizontal="center"/>
    </xf>
    <xf numFmtId="44" fontId="10" fillId="0" borderId="4" xfId="1" applyFont="1" applyBorder="1"/>
    <xf numFmtId="0" fontId="10" fillId="0" borderId="0" xfId="0" applyFont="1"/>
    <xf numFmtId="0" fontId="0" fillId="2" borderId="1" xfId="0" applyFill="1" applyBorder="1"/>
    <xf numFmtId="0" fontId="7" fillId="0" borderId="0" xfId="0" applyFont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44" fontId="7" fillId="0" borderId="19" xfId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4" fillId="0" borderId="16" xfId="0" applyFont="1" applyBorder="1" applyAlignment="1">
      <alignment horizontal="center" wrapText="1"/>
    </xf>
    <xf numFmtId="0" fontId="14" fillId="0" borderId="30" xfId="0" applyFont="1" applyBorder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44" fontId="14" fillId="0" borderId="30" xfId="1" applyFont="1" applyBorder="1" applyAlignment="1">
      <alignment horizontal="center" wrapText="1"/>
    </xf>
    <xf numFmtId="44" fontId="14" fillId="0" borderId="17" xfId="1" applyFont="1" applyBorder="1" applyAlignment="1">
      <alignment horizontal="center" wrapText="1"/>
    </xf>
    <xf numFmtId="44" fontId="14" fillId="0" borderId="16" xfId="1" applyFont="1" applyBorder="1" applyAlignment="1">
      <alignment horizontal="center" wrapText="1"/>
    </xf>
    <xf numFmtId="0" fontId="7" fillId="0" borderId="34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44" fontId="7" fillId="0" borderId="1" xfId="1" applyFont="1" applyFill="1" applyBorder="1" applyAlignment="1">
      <alignment wrapText="1"/>
    </xf>
    <xf numFmtId="44" fontId="7" fillId="0" borderId="22" xfId="1" applyFont="1" applyFill="1" applyBorder="1" applyAlignment="1">
      <alignment wrapText="1"/>
    </xf>
    <xf numFmtId="0" fontId="7" fillId="0" borderId="21" xfId="1" applyNumberFormat="1" applyFont="1" applyFill="1" applyBorder="1" applyAlignment="1">
      <alignment horizontal="center" wrapText="1"/>
    </xf>
    <xf numFmtId="44" fontId="7" fillId="0" borderId="2" xfId="1" applyFont="1" applyFill="1" applyBorder="1" applyAlignment="1">
      <alignment wrapText="1"/>
    </xf>
    <xf numFmtId="44" fontId="13" fillId="0" borderId="35" xfId="0" applyNumberFormat="1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3" fontId="7" fillId="0" borderId="1" xfId="0" applyNumberFormat="1" applyFont="1" applyBorder="1" applyAlignment="1">
      <alignment horizontal="left" wrapText="1"/>
    </xf>
    <xf numFmtId="0" fontId="7" fillId="0" borderId="27" xfId="0" applyFont="1" applyBorder="1"/>
    <xf numFmtId="0" fontId="7" fillId="0" borderId="28" xfId="0" applyFont="1" applyBorder="1"/>
    <xf numFmtId="0" fontId="7" fillId="0" borderId="28" xfId="0" applyFont="1" applyBorder="1" applyAlignment="1">
      <alignment horizontal="center"/>
    </xf>
    <xf numFmtId="44" fontId="7" fillId="0" borderId="28" xfId="1" applyFont="1" applyFill="1" applyBorder="1"/>
    <xf numFmtId="0" fontId="7" fillId="0" borderId="28" xfId="1" applyNumberFormat="1" applyFont="1" applyFill="1" applyBorder="1" applyAlignment="1">
      <alignment horizontal="center"/>
    </xf>
    <xf numFmtId="44" fontId="7" fillId="0" borderId="36" xfId="1" applyFont="1" applyFill="1" applyBorder="1"/>
    <xf numFmtId="44" fontId="13" fillId="0" borderId="26" xfId="0" applyNumberFormat="1" applyFont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26" xfId="1" applyNumberFormat="1" applyFont="1" applyFill="1" applyBorder="1" applyAlignment="1">
      <alignment horizontal="center"/>
    </xf>
    <xf numFmtId="44" fontId="7" fillId="0" borderId="26" xfId="0" applyNumberFormat="1" applyFont="1" applyBorder="1"/>
    <xf numFmtId="0" fontId="7" fillId="3" borderId="29" xfId="0" applyFont="1" applyFill="1" applyBorder="1" applyAlignment="1">
      <alignment horizontal="center"/>
    </xf>
    <xf numFmtId="44" fontId="7" fillId="2" borderId="0" xfId="1" applyFont="1" applyFill="1" applyBorder="1"/>
    <xf numFmtId="0" fontId="7" fillId="3" borderId="26" xfId="1" applyNumberFormat="1" applyFont="1" applyFill="1" applyBorder="1" applyAlignment="1">
      <alignment horizontal="center"/>
    </xf>
    <xf numFmtId="44" fontId="7" fillId="0" borderId="0" xfId="1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21" xfId="0" applyFont="1" applyBorder="1"/>
    <xf numFmtId="44" fontId="14" fillId="0" borderId="22" xfId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0" borderId="24" xfId="0" applyFont="1" applyBorder="1"/>
    <xf numFmtId="44" fontId="14" fillId="0" borderId="25" xfId="1" applyFon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4" fontId="7" fillId="0" borderId="0" xfId="0" applyNumberFormat="1" applyFont="1"/>
    <xf numFmtId="0" fontId="14" fillId="0" borderId="0" xfId="0" applyFont="1"/>
    <xf numFmtId="44" fontId="14" fillId="0" borderId="26" xfId="0" applyNumberFormat="1" applyFont="1" applyBorder="1"/>
    <xf numFmtId="0" fontId="14" fillId="0" borderId="1" xfId="0" applyFont="1" applyBorder="1" applyAlignment="1">
      <alignment horizontal="center"/>
    </xf>
    <xf numFmtId="12" fontId="7" fillId="0" borderId="1" xfId="0" applyNumberFormat="1" applyFont="1" applyBorder="1"/>
    <xf numFmtId="44" fontId="7" fillId="0" borderId="0" xfId="1" applyFont="1" applyBorder="1"/>
    <xf numFmtId="0" fontId="14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7" fillId="5" borderId="1" xfId="0" applyFont="1" applyFill="1" applyBorder="1" applyAlignment="1">
      <alignment horizontal="center"/>
    </xf>
    <xf numFmtId="12" fontId="7" fillId="0" borderId="1" xfId="0" applyNumberFormat="1" applyFont="1" applyBorder="1" applyAlignment="1">
      <alignment horizontal="center"/>
    </xf>
    <xf numFmtId="0" fontId="7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15" fillId="0" borderId="0" xfId="0" applyFont="1"/>
    <xf numFmtId="16" fontId="0" fillId="0" borderId="1" xfId="0" applyNumberFormat="1" applyBorder="1" applyAlignment="1">
      <alignment horizontal="left"/>
    </xf>
    <xf numFmtId="12" fontId="0" fillId="0" borderId="1" xfId="0" applyNumberFormat="1" applyBorder="1"/>
    <xf numFmtId="0" fontId="0" fillId="0" borderId="1" xfId="1" applyNumberFormat="1" applyFont="1" applyBorder="1" applyAlignment="1">
      <alignment horizontal="center"/>
    </xf>
    <xf numFmtId="44" fontId="0" fillId="0" borderId="0" xfId="1" applyFont="1" applyBorder="1" applyAlignment="1">
      <alignment horizontal="left"/>
    </xf>
    <xf numFmtId="0" fontId="0" fillId="0" borderId="1" xfId="1" applyNumberFormat="1" applyFont="1" applyBorder="1" applyAlignment="1">
      <alignment horizontal="center" vertical="center" wrapText="1"/>
    </xf>
    <xf numFmtId="12" fontId="17" fillId="0" borderId="1" xfId="0" applyNumberFormat="1" applyFont="1" applyBorder="1"/>
    <xf numFmtId="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2" fontId="0" fillId="0" borderId="1" xfId="0" applyNumberFormat="1" applyBorder="1" applyAlignment="1">
      <alignment horizontal="center"/>
    </xf>
    <xf numFmtId="12" fontId="16" fillId="3" borderId="1" xfId="0" applyNumberFormat="1" applyFont="1" applyFill="1" applyBorder="1" applyAlignment="1">
      <alignment horizontal="center"/>
    </xf>
    <xf numFmtId="44" fontId="0" fillId="0" borderId="0" xfId="1" applyFont="1"/>
    <xf numFmtId="0" fontId="15" fillId="0" borderId="0" xfId="0" applyFont="1" applyAlignment="1">
      <alignment horizontal="center"/>
    </xf>
    <xf numFmtId="44" fontId="0" fillId="0" borderId="0" xfId="1" applyFont="1" applyAlignment="1"/>
    <xf numFmtId="0" fontId="15" fillId="0" borderId="1" xfId="0" applyFont="1" applyBorder="1" applyAlignment="1">
      <alignment horizontal="center"/>
    </xf>
    <xf numFmtId="44" fontId="0" fillId="0" borderId="1" xfId="1" applyFont="1" applyBorder="1"/>
    <xf numFmtId="44" fontId="15" fillId="0" borderId="1" xfId="0" applyNumberFormat="1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4" fontId="17" fillId="0" borderId="1" xfId="1" applyFont="1" applyBorder="1"/>
    <xf numFmtId="0" fontId="0" fillId="2" borderId="1" xfId="0" applyFill="1" applyBorder="1" applyAlignment="1">
      <alignment vertical="center"/>
    </xf>
    <xf numFmtId="44" fontId="0" fillId="0" borderId="1" xfId="1" applyFont="1" applyBorder="1" applyAlignment="1">
      <alignment horizontal="right"/>
    </xf>
    <xf numFmtId="0" fontId="0" fillId="0" borderId="1" xfId="0" applyBorder="1"/>
    <xf numFmtId="0" fontId="0" fillId="0" borderId="1" xfId="1" applyNumberFormat="1" applyFont="1" applyBorder="1"/>
    <xf numFmtId="0" fontId="0" fillId="0" borderId="1" xfId="0" applyBorder="1" applyAlignment="1">
      <alignment horizontal="right"/>
    </xf>
    <xf numFmtId="44" fontId="0" fillId="0" borderId="1" xfId="1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" applyNumberFormat="1" applyFont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11" xfId="0" applyBorder="1" applyAlignment="1">
      <alignment horizontal="center"/>
    </xf>
    <xf numFmtId="44" fontId="0" fillId="0" borderId="0" xfId="1" applyFont="1" applyBorder="1"/>
    <xf numFmtId="0" fontId="0" fillId="0" borderId="0" xfId="0" applyAlignment="1">
      <alignment horizontal="left"/>
    </xf>
    <xf numFmtId="0" fontId="0" fillId="0" borderId="0" xfId="1" applyNumberFormat="1" applyFont="1" applyBorder="1"/>
    <xf numFmtId="0" fontId="0" fillId="0" borderId="0" xfId="1" applyNumberFormat="1" applyFont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44" fontId="0" fillId="0" borderId="0" xfId="1" applyFont="1" applyAlignment="1">
      <alignment horizontal="left"/>
    </xf>
    <xf numFmtId="44" fontId="0" fillId="0" borderId="0" xfId="1" applyFont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44" fontId="0" fillId="0" borderId="26" xfId="1" applyFont="1" applyBorder="1"/>
    <xf numFmtId="16" fontId="0" fillId="0" borderId="39" xfId="0" applyNumberFormat="1" applyBorder="1" applyAlignment="1"/>
    <xf numFmtId="0" fontId="16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44" fontId="4" fillId="4" borderId="1" xfId="1" applyFont="1" applyFill="1" applyBorder="1"/>
    <xf numFmtId="44" fontId="0" fillId="4" borderId="1" xfId="1" applyFont="1" applyFill="1" applyBorder="1"/>
    <xf numFmtId="0" fontId="0" fillId="4" borderId="37" xfId="1" applyNumberFormat="1" applyFont="1" applyFill="1" applyBorder="1" applyAlignment="1">
      <alignment horizontal="center"/>
    </xf>
    <xf numFmtId="44" fontId="15" fillId="4" borderId="1" xfId="0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2" xfId="0" applyFill="1" applyBorder="1" applyAlignment="1"/>
    <xf numFmtId="0" fontId="0" fillId="7" borderId="8" xfId="0" applyFill="1" applyBorder="1" applyAlignment="1"/>
    <xf numFmtId="16" fontId="0" fillId="7" borderId="3" xfId="0" applyNumberFormat="1" applyFill="1" applyBorder="1" applyAlignment="1"/>
    <xf numFmtId="0" fontId="0" fillId="7" borderId="12" xfId="0" applyFill="1" applyBorder="1" applyAlignment="1"/>
    <xf numFmtId="0" fontId="0" fillId="7" borderId="38" xfId="0" applyFill="1" applyBorder="1" applyAlignme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8" fillId="2" borderId="6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7" fillId="0" borderId="0" xfId="0" applyFont="1" applyAlignment="1">
      <alignment horizontal="left"/>
    </xf>
    <xf numFmtId="17" fontId="14" fillId="0" borderId="13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2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2" xfId="0" applyFont="1" applyBorder="1" applyAlignment="1">
      <alignment horizontal="center"/>
    </xf>
    <xf numFmtId="17" fontId="12" fillId="0" borderId="3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44" fontId="7" fillId="2" borderId="0" xfId="1" applyFont="1" applyFill="1" applyBorder="1"/>
    <xf numFmtId="0" fontId="7" fillId="3" borderId="27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</cellXfs>
  <cellStyles count="8">
    <cellStyle name="Moeda" xfId="1" builtinId="4"/>
    <cellStyle name="Moeda 2" xfId="6"/>
    <cellStyle name="Moeda 3" xfId="4"/>
    <cellStyle name="Moeda 4" xfId="3"/>
    <cellStyle name="Normal" xfId="0" builtinId="0"/>
    <cellStyle name="Vírgula" xfId="2" builtinId="3"/>
    <cellStyle name="Vírgula 2" xfId="7"/>
    <cellStyle name="Vírgula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986154</xdr:colOff>
      <xdr:row>0</xdr:row>
      <xdr:rowOff>174625</xdr:rowOff>
    </xdr:from>
    <xdr:to>
      <xdr:col>7</xdr:col>
      <xdr:colOff>575763</xdr:colOff>
      <xdr:row>0</xdr:row>
      <xdr:rowOff>793750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3654" y="174625"/>
          <a:ext cx="573859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403410</xdr:colOff>
      <xdr:row>0</xdr:row>
      <xdr:rowOff>203197</xdr:rowOff>
    </xdr:from>
    <xdr:to>
      <xdr:col>6</xdr:col>
      <xdr:colOff>310695</xdr:colOff>
      <xdr:row>5</xdr:row>
      <xdr:rowOff>212724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3085" y="203197"/>
          <a:ext cx="1657164" cy="990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8"/>
  <sheetViews>
    <sheetView tabSelected="1" topLeftCell="A25" zoomScale="70" zoomScaleNormal="70" workbookViewId="0">
      <selection activeCell="D27" sqref="D27"/>
    </sheetView>
  </sheetViews>
  <sheetFormatPr defaultColWidth="21" defaultRowHeight="17.100000000000001" customHeight="1" x14ac:dyDescent="0.25"/>
  <cols>
    <col min="1" max="1" width="36.7109375" customWidth="1"/>
    <col min="2" max="2" width="27.85546875" customWidth="1"/>
    <col min="3" max="3" width="10.28515625" style="96" customWidth="1"/>
    <col min="4" max="4" width="15.42578125" style="96" customWidth="1"/>
    <col min="5" max="5" width="13.5703125" style="99" customWidth="1"/>
    <col min="6" max="6" width="16.5703125" style="99" customWidth="1"/>
    <col min="7" max="7" width="12.7109375" style="99" customWidth="1"/>
    <col min="8" max="8" width="16.85546875" style="99" customWidth="1"/>
    <col min="9" max="9" width="15.140625" style="99" customWidth="1"/>
    <col min="10" max="10" width="10.140625" style="129" customWidth="1"/>
    <col min="11" max="11" width="16.85546875" style="99" customWidth="1"/>
    <col min="12" max="12" width="14" style="99" customWidth="1"/>
    <col min="13" max="13" width="15.42578125" style="100" bestFit="1" customWidth="1"/>
  </cols>
  <sheetData>
    <row r="1" spans="1:13" ht="64.5" customHeight="1" x14ac:dyDescent="0.25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</row>
    <row r="2" spans="1:13" ht="16.5" hidden="1" customHeight="1" x14ac:dyDescent="0.25"/>
    <row r="3" spans="1:13" ht="16.5" hidden="1" customHeight="1" x14ac:dyDescent="0.25"/>
    <row r="4" spans="1:13" ht="17.100000000000001" customHeight="1" x14ac:dyDescent="0.25">
      <c r="A4" s="154" t="s">
        <v>60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</row>
    <row r="5" spans="1:13" ht="21.75" customHeight="1" x14ac:dyDescent="0.25">
      <c r="A5" s="155" t="s">
        <v>61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</row>
    <row r="6" spans="1:13" ht="9" customHeight="1" x14ac:dyDescent="0.25">
      <c r="E6" s="101"/>
      <c r="F6" s="101"/>
      <c r="G6" s="101"/>
      <c r="H6" s="101"/>
      <c r="I6" s="101"/>
      <c r="K6" s="101"/>
      <c r="L6" s="101"/>
    </row>
    <row r="7" spans="1:13" ht="14.25" customHeight="1" x14ac:dyDescent="0.25">
      <c r="A7" s="95" t="s">
        <v>17</v>
      </c>
      <c r="B7" s="95" t="s">
        <v>55</v>
      </c>
      <c r="C7" s="95" t="s">
        <v>0</v>
      </c>
      <c r="D7" s="95" t="s">
        <v>25</v>
      </c>
      <c r="E7" s="86" t="s">
        <v>1</v>
      </c>
      <c r="F7" s="86" t="s">
        <v>2</v>
      </c>
      <c r="G7" s="86" t="s">
        <v>26</v>
      </c>
      <c r="H7" s="86" t="s">
        <v>1</v>
      </c>
      <c r="I7" s="86" t="s">
        <v>30</v>
      </c>
      <c r="J7" s="86" t="s">
        <v>53</v>
      </c>
      <c r="K7" s="86" t="s">
        <v>29</v>
      </c>
      <c r="L7" s="86" t="s">
        <v>2</v>
      </c>
      <c r="M7" s="102" t="s">
        <v>27</v>
      </c>
    </row>
    <row r="8" spans="1:13" ht="24.95" customHeight="1" x14ac:dyDescent="0.25">
      <c r="A8" s="95"/>
      <c r="B8" s="95"/>
      <c r="C8" s="95"/>
      <c r="D8" s="95"/>
      <c r="E8" s="103">
        <v>13.8</v>
      </c>
      <c r="F8" s="103">
        <f t="shared" ref="F8:F29" si="0">D8*E8</f>
        <v>0</v>
      </c>
      <c r="G8" s="103"/>
      <c r="H8" s="103">
        <v>6.6</v>
      </c>
      <c r="I8" s="103">
        <f>G8*H8</f>
        <v>0</v>
      </c>
      <c r="J8" s="86"/>
      <c r="K8" s="103">
        <v>10</v>
      </c>
      <c r="L8" s="103">
        <f>J8*K8</f>
        <v>0</v>
      </c>
      <c r="M8" s="104">
        <f>F8+I8+L8</f>
        <v>0</v>
      </c>
    </row>
    <row r="9" spans="1:13" ht="24.95" customHeight="1" x14ac:dyDescent="0.25">
      <c r="A9" s="27" t="s">
        <v>31</v>
      </c>
      <c r="B9" s="27"/>
      <c r="C9" s="95">
        <v>101</v>
      </c>
      <c r="D9" s="95"/>
      <c r="E9" s="103">
        <v>13.8</v>
      </c>
      <c r="F9" s="103">
        <f t="shared" si="0"/>
        <v>0</v>
      </c>
      <c r="G9" s="103"/>
      <c r="H9" s="103">
        <v>6.6</v>
      </c>
      <c r="I9" s="103">
        <f t="shared" ref="I9:I29" si="1">G9*H9</f>
        <v>0</v>
      </c>
      <c r="J9" s="105"/>
      <c r="K9" s="103">
        <v>10</v>
      </c>
      <c r="L9" s="103">
        <f t="shared" ref="L9:L29" si="2">J9*K9</f>
        <v>0</v>
      </c>
      <c r="M9" s="104">
        <f t="shared" ref="M9:M29" si="3">F9+I9+L9</f>
        <v>0</v>
      </c>
    </row>
    <row r="10" spans="1:13" ht="24.95" customHeight="1" x14ac:dyDescent="0.25">
      <c r="A10" s="27"/>
      <c r="B10" s="27"/>
      <c r="C10" s="95">
        <v>201</v>
      </c>
      <c r="D10" s="95"/>
      <c r="E10" s="103">
        <v>13.8</v>
      </c>
      <c r="F10" s="103">
        <f t="shared" si="0"/>
        <v>0</v>
      </c>
      <c r="G10" s="103"/>
      <c r="H10" s="103">
        <v>6.6</v>
      </c>
      <c r="I10" s="103">
        <f t="shared" si="1"/>
        <v>0</v>
      </c>
      <c r="J10" s="105"/>
      <c r="K10" s="103">
        <v>10</v>
      </c>
      <c r="L10" s="103">
        <f t="shared" si="2"/>
        <v>0</v>
      </c>
      <c r="M10" s="104">
        <f t="shared" si="3"/>
        <v>0</v>
      </c>
    </row>
    <row r="11" spans="1:13" ht="24.95" customHeight="1" x14ac:dyDescent="0.25">
      <c r="A11" s="27" t="s">
        <v>49</v>
      </c>
      <c r="B11" s="27"/>
      <c r="C11" s="95">
        <v>301</v>
      </c>
      <c r="D11" s="95">
        <v>1</v>
      </c>
      <c r="E11" s="103">
        <v>13.8</v>
      </c>
      <c r="F11" s="103">
        <f t="shared" si="0"/>
        <v>13.8</v>
      </c>
      <c r="G11" s="90">
        <v>12</v>
      </c>
      <c r="H11" s="103">
        <v>6.6</v>
      </c>
      <c r="I11" s="103">
        <f t="shared" si="1"/>
        <v>79.199999999999989</v>
      </c>
      <c r="J11" s="105"/>
      <c r="K11" s="103">
        <v>10</v>
      </c>
      <c r="L11" s="103">
        <f t="shared" si="2"/>
        <v>0</v>
      </c>
      <c r="M11" s="104">
        <f t="shared" si="3"/>
        <v>92.999999999999986</v>
      </c>
    </row>
    <row r="12" spans="1:13" ht="24.95" customHeight="1" x14ac:dyDescent="0.25">
      <c r="A12" s="27" t="s">
        <v>18</v>
      </c>
      <c r="B12" s="27"/>
      <c r="C12" s="95">
        <v>401</v>
      </c>
      <c r="D12" s="95">
        <f>13+2</f>
        <v>15</v>
      </c>
      <c r="E12" s="103">
        <v>13.8</v>
      </c>
      <c r="F12" s="103">
        <f t="shared" si="0"/>
        <v>207</v>
      </c>
      <c r="G12" s="90">
        <v>3</v>
      </c>
      <c r="H12" s="103">
        <v>6.6</v>
      </c>
      <c r="I12" s="103">
        <f t="shared" si="1"/>
        <v>19.799999999999997</v>
      </c>
      <c r="J12" s="105"/>
      <c r="K12" s="103">
        <v>10</v>
      </c>
      <c r="L12" s="103">
        <f t="shared" si="2"/>
        <v>0</v>
      </c>
      <c r="M12" s="104">
        <f t="shared" si="3"/>
        <v>226.8</v>
      </c>
    </row>
    <row r="13" spans="1:13" ht="24.95" customHeight="1" x14ac:dyDescent="0.25">
      <c r="A13" s="27"/>
      <c r="B13" s="27"/>
      <c r="C13" s="95">
        <v>501</v>
      </c>
      <c r="D13" s="95">
        <v>2</v>
      </c>
      <c r="E13" s="103">
        <v>13.8</v>
      </c>
      <c r="F13" s="103">
        <f t="shared" si="0"/>
        <v>27.6</v>
      </c>
      <c r="G13" s="103"/>
      <c r="H13" s="103">
        <v>6.6</v>
      </c>
      <c r="I13" s="103">
        <f t="shared" si="1"/>
        <v>0</v>
      </c>
      <c r="J13" s="105"/>
      <c r="K13" s="103">
        <v>10</v>
      </c>
      <c r="L13" s="103">
        <f t="shared" si="2"/>
        <v>0</v>
      </c>
      <c r="M13" s="104">
        <f t="shared" si="3"/>
        <v>27.6</v>
      </c>
    </row>
    <row r="14" spans="1:13" ht="24.95" customHeight="1" x14ac:dyDescent="0.25">
      <c r="A14" s="27" t="s">
        <v>6</v>
      </c>
      <c r="B14" s="27"/>
      <c r="C14" s="95">
        <v>601</v>
      </c>
      <c r="D14" s="95">
        <v>18</v>
      </c>
      <c r="E14" s="103">
        <v>13.8</v>
      </c>
      <c r="F14" s="103">
        <f t="shared" si="0"/>
        <v>248.4</v>
      </c>
      <c r="G14" s="103"/>
      <c r="H14" s="103">
        <v>6.6</v>
      </c>
      <c r="I14" s="103">
        <f t="shared" si="1"/>
        <v>0</v>
      </c>
      <c r="J14" s="105"/>
      <c r="K14" s="103">
        <v>10</v>
      </c>
      <c r="L14" s="103">
        <f t="shared" si="2"/>
        <v>0</v>
      </c>
      <c r="M14" s="104">
        <f t="shared" si="3"/>
        <v>248.4</v>
      </c>
    </row>
    <row r="15" spans="1:13" ht="24.95" customHeight="1" x14ac:dyDescent="0.25">
      <c r="A15" s="27" t="s">
        <v>7</v>
      </c>
      <c r="B15" s="27"/>
      <c r="C15" s="95">
        <v>701</v>
      </c>
      <c r="D15" s="95"/>
      <c r="E15" s="103">
        <v>13.8</v>
      </c>
      <c r="F15" s="103">
        <f t="shared" si="0"/>
        <v>0</v>
      </c>
      <c r="G15" s="103"/>
      <c r="H15" s="103">
        <v>6.6</v>
      </c>
      <c r="I15" s="103">
        <f t="shared" si="1"/>
        <v>0</v>
      </c>
      <c r="J15" s="105"/>
      <c r="K15" s="103">
        <v>10</v>
      </c>
      <c r="L15" s="103">
        <f t="shared" si="2"/>
        <v>0</v>
      </c>
      <c r="M15" s="104">
        <f t="shared" si="3"/>
        <v>0</v>
      </c>
    </row>
    <row r="16" spans="1:13" ht="24.95" customHeight="1" x14ac:dyDescent="0.25">
      <c r="A16" s="27" t="s">
        <v>8</v>
      </c>
      <c r="B16" s="27"/>
      <c r="C16" s="106">
        <v>801</v>
      </c>
      <c r="D16" s="106">
        <v>7</v>
      </c>
      <c r="E16" s="103">
        <v>13.8</v>
      </c>
      <c r="F16" s="107">
        <f t="shared" si="0"/>
        <v>96.600000000000009</v>
      </c>
      <c r="G16" s="107"/>
      <c r="H16" s="103">
        <v>6.6</v>
      </c>
      <c r="I16" s="103">
        <f t="shared" si="1"/>
        <v>0</v>
      </c>
      <c r="J16" s="105"/>
      <c r="K16" s="103">
        <v>10</v>
      </c>
      <c r="L16" s="103">
        <f t="shared" si="2"/>
        <v>0</v>
      </c>
      <c r="M16" s="104">
        <f t="shared" si="3"/>
        <v>96.600000000000009</v>
      </c>
    </row>
    <row r="17" spans="1:56" ht="24.95" customHeight="1" x14ac:dyDescent="0.25">
      <c r="A17" s="27"/>
      <c r="B17" s="27"/>
      <c r="C17" s="95">
        <v>901</v>
      </c>
      <c r="D17" s="95"/>
      <c r="E17" s="103">
        <v>13.8</v>
      </c>
      <c r="F17" s="103">
        <f>D17*E17</f>
        <v>0</v>
      </c>
      <c r="G17" s="90">
        <v>7</v>
      </c>
      <c r="H17" s="103">
        <v>6.6</v>
      </c>
      <c r="I17" s="103">
        <f t="shared" si="1"/>
        <v>46.199999999999996</v>
      </c>
      <c r="J17" s="105"/>
      <c r="K17" s="103">
        <v>10</v>
      </c>
      <c r="L17" s="103">
        <f t="shared" si="2"/>
        <v>0</v>
      </c>
      <c r="M17" s="104">
        <f t="shared" si="3"/>
        <v>46.199999999999996</v>
      </c>
    </row>
    <row r="18" spans="1:56" ht="24.95" customHeight="1" x14ac:dyDescent="0.25">
      <c r="A18" s="27" t="s">
        <v>9</v>
      </c>
      <c r="B18" s="27"/>
      <c r="C18" s="95">
        <v>1001</v>
      </c>
      <c r="D18" s="95">
        <v>6</v>
      </c>
      <c r="E18" s="103">
        <v>13.8</v>
      </c>
      <c r="F18" s="103">
        <f>D18*E18</f>
        <v>82.800000000000011</v>
      </c>
      <c r="G18" s="103"/>
      <c r="H18" s="103">
        <v>6.6</v>
      </c>
      <c r="I18" s="103">
        <f t="shared" si="1"/>
        <v>0</v>
      </c>
      <c r="J18" s="105"/>
      <c r="K18" s="103">
        <v>10</v>
      </c>
      <c r="L18" s="103">
        <f t="shared" si="2"/>
        <v>0</v>
      </c>
      <c r="M18" s="104">
        <f t="shared" si="3"/>
        <v>82.800000000000011</v>
      </c>
    </row>
    <row r="19" spans="1:56" ht="24.95" customHeight="1" x14ac:dyDescent="0.25">
      <c r="A19" s="108"/>
      <c r="B19" s="108"/>
      <c r="C19" s="95">
        <v>1101</v>
      </c>
      <c r="D19" s="95"/>
      <c r="E19" s="103">
        <v>13.8</v>
      </c>
      <c r="F19" s="103">
        <f t="shared" si="0"/>
        <v>0</v>
      </c>
      <c r="G19" s="90"/>
      <c r="H19" s="103">
        <v>6.6</v>
      </c>
      <c r="I19" s="103">
        <f t="shared" si="1"/>
        <v>0</v>
      </c>
      <c r="J19" s="105"/>
      <c r="K19" s="103">
        <v>10</v>
      </c>
      <c r="L19" s="103">
        <f t="shared" si="2"/>
        <v>0</v>
      </c>
      <c r="M19" s="104">
        <f t="shared" si="3"/>
        <v>0</v>
      </c>
    </row>
    <row r="20" spans="1:56" ht="24.95" customHeight="1" x14ac:dyDescent="0.25">
      <c r="A20" s="108" t="s">
        <v>10</v>
      </c>
      <c r="B20" s="108"/>
      <c r="C20" s="95">
        <v>1201</v>
      </c>
      <c r="D20" s="95">
        <v>5</v>
      </c>
      <c r="E20" s="103">
        <v>13.8</v>
      </c>
      <c r="F20" s="103">
        <f t="shared" si="0"/>
        <v>69</v>
      </c>
      <c r="G20" s="90"/>
      <c r="H20" s="103">
        <v>6.6</v>
      </c>
      <c r="I20" s="103">
        <f t="shared" si="1"/>
        <v>0</v>
      </c>
      <c r="J20" s="105"/>
      <c r="K20" s="103">
        <v>10</v>
      </c>
      <c r="L20" s="103">
        <f t="shared" si="2"/>
        <v>0</v>
      </c>
      <c r="M20" s="104">
        <f t="shared" si="3"/>
        <v>69</v>
      </c>
    </row>
    <row r="21" spans="1:56" ht="24.95" customHeight="1" x14ac:dyDescent="0.25">
      <c r="A21" s="27"/>
      <c r="B21" s="27"/>
      <c r="C21" s="95">
        <v>1301</v>
      </c>
      <c r="D21" s="95"/>
      <c r="E21" s="103">
        <v>13.8</v>
      </c>
      <c r="F21" s="103">
        <f t="shared" si="0"/>
        <v>0</v>
      </c>
      <c r="G21" s="103"/>
      <c r="H21" s="103">
        <v>6.6</v>
      </c>
      <c r="I21" s="103">
        <f t="shared" si="1"/>
        <v>0</v>
      </c>
      <c r="J21" s="105"/>
      <c r="K21" s="103">
        <v>10</v>
      </c>
      <c r="L21" s="103">
        <f t="shared" si="2"/>
        <v>0</v>
      </c>
      <c r="M21" s="104">
        <f t="shared" si="3"/>
        <v>0</v>
      </c>
    </row>
    <row r="22" spans="1:56" ht="24.95" customHeight="1" x14ac:dyDescent="0.25">
      <c r="A22" s="27" t="s">
        <v>11</v>
      </c>
      <c r="B22" s="27"/>
      <c r="C22" s="95">
        <v>1401</v>
      </c>
      <c r="D22" s="95"/>
      <c r="E22" s="103">
        <v>13.8</v>
      </c>
      <c r="F22" s="103">
        <f t="shared" si="0"/>
        <v>0</v>
      </c>
      <c r="G22" s="103"/>
      <c r="H22" s="103">
        <v>6.6</v>
      </c>
      <c r="I22" s="103">
        <f t="shared" si="1"/>
        <v>0</v>
      </c>
      <c r="J22" s="105"/>
      <c r="K22" s="103">
        <v>10</v>
      </c>
      <c r="L22" s="103">
        <f t="shared" si="2"/>
        <v>0</v>
      </c>
      <c r="M22" s="104">
        <f t="shared" si="3"/>
        <v>0</v>
      </c>
    </row>
    <row r="23" spans="1:56" ht="24.95" customHeight="1" x14ac:dyDescent="0.25">
      <c r="A23" s="27"/>
      <c r="B23" s="27"/>
      <c r="C23" s="95">
        <v>1501</v>
      </c>
      <c r="D23" s="95">
        <v>5</v>
      </c>
      <c r="E23" s="103">
        <v>13.8</v>
      </c>
      <c r="F23" s="103">
        <f t="shared" si="0"/>
        <v>69</v>
      </c>
      <c r="G23" s="90">
        <v>4</v>
      </c>
      <c r="H23" s="103">
        <v>6.6</v>
      </c>
      <c r="I23" s="103">
        <f t="shared" si="1"/>
        <v>26.4</v>
      </c>
      <c r="J23" s="105"/>
      <c r="K23" s="103">
        <v>10</v>
      </c>
      <c r="L23" s="103">
        <f t="shared" si="2"/>
        <v>0</v>
      </c>
      <c r="M23" s="104">
        <f t="shared" si="3"/>
        <v>95.4</v>
      </c>
    </row>
    <row r="24" spans="1:56" ht="24.95" customHeight="1" x14ac:dyDescent="0.25">
      <c r="A24" s="27" t="s">
        <v>54</v>
      </c>
      <c r="B24" s="27">
        <v>5492739484</v>
      </c>
      <c r="C24" s="95">
        <v>1601</v>
      </c>
      <c r="D24" s="95">
        <v>8</v>
      </c>
      <c r="E24" s="103">
        <v>13.8</v>
      </c>
      <c r="F24" s="103">
        <f t="shared" si="0"/>
        <v>110.4</v>
      </c>
      <c r="G24" s="90"/>
      <c r="H24" s="103">
        <v>6.6</v>
      </c>
      <c r="I24" s="103">
        <f t="shared" si="1"/>
        <v>0</v>
      </c>
      <c r="J24" s="105"/>
      <c r="K24" s="103">
        <v>10</v>
      </c>
      <c r="L24" s="103">
        <f t="shared" si="2"/>
        <v>0</v>
      </c>
      <c r="M24" s="104">
        <f t="shared" si="3"/>
        <v>110.4</v>
      </c>
    </row>
    <row r="25" spans="1:56" ht="24.95" customHeight="1" x14ac:dyDescent="0.25">
      <c r="A25" s="27" t="s">
        <v>13</v>
      </c>
      <c r="B25" s="27"/>
      <c r="C25" s="95">
        <v>1701</v>
      </c>
      <c r="D25" s="95">
        <v>4</v>
      </c>
      <c r="E25" s="103">
        <v>13.8</v>
      </c>
      <c r="F25" s="103">
        <f t="shared" si="0"/>
        <v>55.2</v>
      </c>
      <c r="G25" s="90"/>
      <c r="H25" s="103">
        <v>6.6</v>
      </c>
      <c r="I25" s="103">
        <f t="shared" si="1"/>
        <v>0</v>
      </c>
      <c r="J25" s="105"/>
      <c r="K25" s="103">
        <v>10</v>
      </c>
      <c r="L25" s="103">
        <f t="shared" si="2"/>
        <v>0</v>
      </c>
      <c r="M25" s="104">
        <f t="shared" si="3"/>
        <v>55.2</v>
      </c>
    </row>
    <row r="26" spans="1:56" ht="24.95" customHeight="1" x14ac:dyDescent="0.25">
      <c r="A26" s="134" t="s">
        <v>52</v>
      </c>
      <c r="B26" s="110"/>
      <c r="C26" s="95">
        <v>1801</v>
      </c>
      <c r="D26" s="95">
        <f>9+2</f>
        <v>11</v>
      </c>
      <c r="E26" s="103">
        <v>13.8</v>
      </c>
      <c r="F26" s="103">
        <f t="shared" si="0"/>
        <v>151.80000000000001</v>
      </c>
      <c r="G26" s="103"/>
      <c r="H26" s="103">
        <v>6.6</v>
      </c>
      <c r="I26" s="103">
        <f t="shared" si="1"/>
        <v>0</v>
      </c>
      <c r="J26" s="105"/>
      <c r="K26" s="103">
        <v>10</v>
      </c>
      <c r="L26" s="103">
        <f t="shared" si="2"/>
        <v>0</v>
      </c>
      <c r="M26" s="104">
        <f t="shared" si="3"/>
        <v>151.80000000000001</v>
      </c>
    </row>
    <row r="27" spans="1:56" ht="24.95" customHeight="1" x14ac:dyDescent="0.25">
      <c r="A27" s="27"/>
      <c r="B27" s="27"/>
      <c r="C27" s="95">
        <v>1901</v>
      </c>
      <c r="D27" s="95">
        <v>6</v>
      </c>
      <c r="E27" s="103">
        <v>13.8</v>
      </c>
      <c r="F27" s="103">
        <f t="shared" si="0"/>
        <v>82.800000000000011</v>
      </c>
      <c r="G27" s="103"/>
      <c r="H27" s="103">
        <v>6.6</v>
      </c>
      <c r="I27" s="103">
        <f t="shared" si="1"/>
        <v>0</v>
      </c>
      <c r="J27" s="105"/>
      <c r="K27" s="103">
        <v>10</v>
      </c>
      <c r="L27" s="103">
        <f t="shared" si="2"/>
        <v>0</v>
      </c>
      <c r="M27" s="104">
        <f t="shared" si="3"/>
        <v>82.800000000000011</v>
      </c>
    </row>
    <row r="28" spans="1:56" ht="24.95" customHeight="1" x14ac:dyDescent="0.25">
      <c r="A28" s="114"/>
      <c r="B28" s="114"/>
      <c r="C28" s="95">
        <v>2001</v>
      </c>
      <c r="D28" s="95">
        <v>14</v>
      </c>
      <c r="E28" s="103">
        <v>13.8</v>
      </c>
      <c r="F28" s="103">
        <f t="shared" si="0"/>
        <v>193.20000000000002</v>
      </c>
      <c r="G28" s="103"/>
      <c r="H28" s="103">
        <v>6.6</v>
      </c>
      <c r="I28" s="103">
        <f t="shared" si="1"/>
        <v>0</v>
      </c>
      <c r="J28" s="105"/>
      <c r="K28" s="103">
        <v>10</v>
      </c>
      <c r="L28" s="103">
        <f t="shared" si="2"/>
        <v>0</v>
      </c>
      <c r="M28" s="104">
        <f t="shared" si="3"/>
        <v>193.20000000000002</v>
      </c>
    </row>
    <row r="29" spans="1:56" s="116" customFormat="1" ht="24.95" customHeight="1" thickBot="1" x14ac:dyDescent="0.3">
      <c r="A29" s="135" t="s">
        <v>51</v>
      </c>
      <c r="B29" s="135"/>
      <c r="C29" s="136"/>
      <c r="D29" s="137">
        <f>11+8</f>
        <v>19</v>
      </c>
      <c r="E29" s="138">
        <v>10</v>
      </c>
      <c r="F29" s="139">
        <f t="shared" si="0"/>
        <v>190</v>
      </c>
      <c r="G29" s="140">
        <v>3</v>
      </c>
      <c r="H29" s="103">
        <v>6.6</v>
      </c>
      <c r="I29" s="139">
        <f t="shared" si="1"/>
        <v>19.799999999999997</v>
      </c>
      <c r="J29" s="140"/>
      <c r="K29" s="139">
        <v>9</v>
      </c>
      <c r="L29" s="139">
        <f t="shared" si="2"/>
        <v>0</v>
      </c>
      <c r="M29" s="141">
        <f t="shared" si="3"/>
        <v>209.8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 ht="17.100000000000001" customHeight="1" thickBot="1" x14ac:dyDescent="0.3">
      <c r="C30" s="117" t="s">
        <v>2</v>
      </c>
      <c r="D30" s="118">
        <f>SUM(D8:D29)</f>
        <v>121</v>
      </c>
      <c r="F30" s="99">
        <f>SUM(F8:F29)</f>
        <v>1597.6000000000001</v>
      </c>
      <c r="G30" s="119">
        <f>SUM(G8:G29)</f>
        <v>29</v>
      </c>
      <c r="J30" s="119">
        <f>SUM(J8:J29)</f>
        <v>0</v>
      </c>
      <c r="M30" s="96">
        <f>SUMPRODUCT(M8:M29)</f>
        <v>1789</v>
      </c>
    </row>
    <row r="31" spans="1:56" ht="17.100000000000001" customHeight="1" thickBot="1" x14ac:dyDescent="0.3">
      <c r="C31" s="117" t="s">
        <v>24</v>
      </c>
      <c r="D31" s="118">
        <f>D30-D29</f>
        <v>102</v>
      </c>
      <c r="G31" s="120">
        <f>SUM(G8:G28)</f>
        <v>26</v>
      </c>
      <c r="M31" s="96"/>
    </row>
    <row r="32" spans="1:56" ht="17.100000000000001" customHeight="1" x14ac:dyDescent="0.25">
      <c r="M32" s="96"/>
    </row>
    <row r="33" spans="1:13" ht="17.100000000000001" customHeight="1" x14ac:dyDescent="0.25">
      <c r="M33" s="96"/>
    </row>
    <row r="34" spans="1:13" ht="17.100000000000001" customHeight="1" thickBot="1" x14ac:dyDescent="0.3">
      <c r="A34" s="151" t="s">
        <v>58</v>
      </c>
      <c r="B34" s="152"/>
      <c r="C34" s="133">
        <v>46357</v>
      </c>
      <c r="D34" s="121">
        <v>12</v>
      </c>
      <c r="G34" s="90">
        <v>7</v>
      </c>
      <c r="H34" s="122"/>
      <c r="I34" s="122"/>
      <c r="J34" s="90"/>
      <c r="K34" s="122"/>
      <c r="L34" s="122"/>
      <c r="M34" s="96"/>
    </row>
    <row r="35" spans="1:13" ht="17.100000000000001" customHeight="1" x14ac:dyDescent="0.25">
      <c r="A35" s="123"/>
      <c r="B35" s="123"/>
      <c r="C35" s="123"/>
      <c r="G35" s="124"/>
      <c r="H35" s="124"/>
      <c r="I35" s="124"/>
      <c r="J35" s="125"/>
      <c r="K35"/>
      <c r="L35"/>
      <c r="M35"/>
    </row>
    <row r="36" spans="1:13" ht="17.100000000000001" customHeight="1" x14ac:dyDescent="0.25">
      <c r="A36" s="162" t="s">
        <v>19</v>
      </c>
      <c r="B36" s="162"/>
      <c r="C36" s="163"/>
      <c r="D36" s="115">
        <v>12</v>
      </c>
      <c r="G36" s="126"/>
      <c r="H36" s="91"/>
      <c r="I36" s="91"/>
      <c r="J36" s="115"/>
      <c r="K36"/>
      <c r="L36"/>
      <c r="M36"/>
    </row>
    <row r="37" spans="1:13" ht="17.100000000000001" customHeight="1" x14ac:dyDescent="0.25">
      <c r="A37" s="142" t="s">
        <v>56</v>
      </c>
      <c r="B37" s="143" t="s">
        <v>57</v>
      </c>
      <c r="C37" s="88">
        <v>46358</v>
      </c>
      <c r="D37" s="89">
        <v>11</v>
      </c>
      <c r="E37" s="164"/>
      <c r="F37" s="165"/>
      <c r="G37" s="90"/>
      <c r="H37" s="91"/>
      <c r="I37" s="91"/>
      <c r="J37" s="92"/>
      <c r="K37" s="109" t="s">
        <v>22</v>
      </c>
      <c r="L37" s="103"/>
      <c r="M37" s="87"/>
    </row>
    <row r="38" spans="1:13" ht="17.100000000000001" customHeight="1" x14ac:dyDescent="0.25">
      <c r="A38" s="144"/>
      <c r="B38" s="145"/>
      <c r="C38" s="88">
        <v>46361</v>
      </c>
      <c r="D38" s="89">
        <v>12</v>
      </c>
      <c r="E38" s="164"/>
      <c r="F38" s="165"/>
      <c r="G38" s="90"/>
      <c r="H38" s="91"/>
      <c r="I38" s="91"/>
      <c r="J38" s="90"/>
      <c r="K38" s="109" t="s">
        <v>23</v>
      </c>
      <c r="L38" s="111">
        <v>12</v>
      </c>
      <c r="M38"/>
    </row>
    <row r="39" spans="1:13" ht="17.100000000000001" customHeight="1" x14ac:dyDescent="0.25">
      <c r="A39" s="144"/>
      <c r="B39" s="145"/>
      <c r="C39" s="88">
        <v>46365</v>
      </c>
      <c r="D39" s="89">
        <v>22</v>
      </c>
      <c r="E39" s="164"/>
      <c r="F39" s="165"/>
      <c r="G39" s="90">
        <v>8</v>
      </c>
      <c r="H39" s="91"/>
      <c r="I39" s="91"/>
      <c r="J39" s="90"/>
      <c r="K39" s="112" t="s">
        <v>5</v>
      </c>
      <c r="L39" s="113">
        <v>1.7</v>
      </c>
      <c r="M39"/>
    </row>
    <row r="40" spans="1:13" ht="17.100000000000001" customHeight="1" x14ac:dyDescent="0.25">
      <c r="A40" s="144"/>
      <c r="B40" s="145"/>
      <c r="C40" s="88">
        <v>46368</v>
      </c>
      <c r="D40" s="89">
        <v>20</v>
      </c>
      <c r="E40" s="164"/>
      <c r="F40" s="165"/>
      <c r="G40" s="90"/>
      <c r="H40" s="91"/>
      <c r="I40" s="91"/>
      <c r="J40" s="90"/>
      <c r="K40"/>
      <c r="L40"/>
      <c r="M40"/>
    </row>
    <row r="41" spans="1:13" ht="17.100000000000001" customHeight="1" x14ac:dyDescent="0.25">
      <c r="A41" s="144"/>
      <c r="B41" s="145"/>
      <c r="C41" s="88">
        <v>46372</v>
      </c>
      <c r="D41" s="89">
        <v>10</v>
      </c>
      <c r="E41" s="164"/>
      <c r="F41" s="165"/>
      <c r="G41" s="90"/>
      <c r="H41" s="91"/>
      <c r="I41" s="91"/>
      <c r="J41" s="90">
        <v>4</v>
      </c>
      <c r="K41" s="166" t="s">
        <v>50</v>
      </c>
      <c r="L41" s="167"/>
      <c r="M41" s="167"/>
    </row>
    <row r="42" spans="1:13" ht="17.100000000000001" customHeight="1" x14ac:dyDescent="0.25">
      <c r="A42" s="144"/>
      <c r="B42" s="145"/>
      <c r="C42" s="88">
        <v>46375</v>
      </c>
      <c r="D42" s="89">
        <v>15</v>
      </c>
      <c r="E42" s="164"/>
      <c r="F42" s="165"/>
      <c r="G42" s="90"/>
      <c r="H42" s="91"/>
      <c r="I42" s="91"/>
      <c r="J42" s="90"/>
      <c r="K42"/>
      <c r="L42"/>
      <c r="M42"/>
    </row>
    <row r="43" spans="1:13" ht="17.100000000000001" customHeight="1" x14ac:dyDescent="0.25">
      <c r="A43" s="144"/>
      <c r="B43" s="145"/>
      <c r="C43" s="88">
        <v>46379</v>
      </c>
      <c r="D43" s="89">
        <v>20</v>
      </c>
      <c r="E43" s="164"/>
      <c r="F43" s="165"/>
      <c r="G43" s="90">
        <v>10</v>
      </c>
      <c r="H43" s="91"/>
      <c r="I43" s="91"/>
      <c r="J43" s="90"/>
      <c r="K43"/>
      <c r="L43"/>
      <c r="M43"/>
    </row>
    <row r="44" spans="1:13" ht="17.100000000000001" customHeight="1" x14ac:dyDescent="0.25">
      <c r="A44" s="144"/>
      <c r="B44" s="145"/>
      <c r="C44" s="88">
        <v>46382</v>
      </c>
      <c r="D44" s="89">
        <v>10</v>
      </c>
      <c r="E44" s="164"/>
      <c r="F44" s="165"/>
      <c r="G44" s="90"/>
      <c r="H44" s="91"/>
      <c r="I44" s="91"/>
      <c r="J44" s="90"/>
      <c r="K44"/>
      <c r="L44"/>
      <c r="M44"/>
    </row>
    <row r="45" spans="1:13" ht="17.100000000000001" customHeight="1" x14ac:dyDescent="0.25">
      <c r="A45" s="144"/>
      <c r="B45" s="145"/>
      <c r="C45" s="88">
        <v>46386</v>
      </c>
      <c r="D45" s="89">
        <v>31</v>
      </c>
      <c r="E45" s="164"/>
      <c r="F45" s="165"/>
      <c r="G45" s="90">
        <v>15</v>
      </c>
      <c r="H45" s="91"/>
      <c r="I45" s="91"/>
      <c r="J45" s="90"/>
      <c r="K45" s="91"/>
      <c r="L45" s="91"/>
    </row>
    <row r="46" spans="1:13" ht="17.100000000000001" customHeight="1" x14ac:dyDescent="0.25">
      <c r="A46" s="144"/>
      <c r="B46" s="145"/>
      <c r="C46" s="88"/>
      <c r="D46" s="89"/>
      <c r="E46" s="164"/>
      <c r="F46" s="165"/>
      <c r="G46" s="90"/>
      <c r="H46" s="91"/>
      <c r="I46" s="91"/>
      <c r="J46" s="90"/>
      <c r="K46" s="91"/>
      <c r="L46" s="91"/>
    </row>
    <row r="47" spans="1:13" ht="17.100000000000001" customHeight="1" x14ac:dyDescent="0.25">
      <c r="A47" s="144"/>
      <c r="B47" s="145"/>
      <c r="C47" s="88"/>
      <c r="D47" s="93"/>
      <c r="E47" s="164"/>
      <c r="F47" s="165"/>
      <c r="G47" s="90"/>
      <c r="H47" s="91"/>
      <c r="I47" s="91"/>
      <c r="J47" s="90"/>
      <c r="K47" s="91"/>
      <c r="L47" s="91"/>
    </row>
    <row r="48" spans="1:13" ht="17.100000000000001" customHeight="1" x14ac:dyDescent="0.25">
      <c r="A48" s="144"/>
      <c r="B48" s="145"/>
      <c r="C48" s="88"/>
      <c r="D48" s="89"/>
      <c r="E48" s="164"/>
      <c r="F48" s="165"/>
      <c r="G48" s="90"/>
      <c r="H48" s="91"/>
      <c r="I48" s="91"/>
      <c r="J48" s="90"/>
      <c r="K48" s="91"/>
      <c r="L48" s="91"/>
    </row>
    <row r="49" spans="1:13" ht="17.100000000000001" customHeight="1" x14ac:dyDescent="0.25">
      <c r="A49" s="144"/>
      <c r="B49" s="145"/>
      <c r="C49" s="88"/>
      <c r="D49" s="97"/>
      <c r="E49" s="164"/>
      <c r="F49" s="165"/>
      <c r="G49" s="90"/>
      <c r="H49" s="91"/>
      <c r="I49" s="91"/>
      <c r="J49" s="90"/>
      <c r="K49" s="91"/>
      <c r="L49" s="91"/>
    </row>
    <row r="50" spans="1:13" ht="17.100000000000001" customHeight="1" x14ac:dyDescent="0.25">
      <c r="A50" s="144"/>
      <c r="B50" s="145"/>
      <c r="C50" s="88"/>
      <c r="D50" s="97"/>
      <c r="E50" s="164"/>
      <c r="F50" s="165"/>
      <c r="G50" s="90"/>
      <c r="H50" s="91"/>
      <c r="I50" s="91"/>
      <c r="J50" s="90"/>
      <c r="K50" s="91"/>
      <c r="L50" s="91"/>
    </row>
    <row r="51" spans="1:13" ht="17.100000000000001" customHeight="1" x14ac:dyDescent="0.25">
      <c r="A51" s="146"/>
      <c r="B51" s="147"/>
      <c r="C51" s="88"/>
      <c r="D51" s="98">
        <f>SUMPRODUCT(D37:D50)</f>
        <v>151</v>
      </c>
      <c r="E51" s="164"/>
      <c r="F51" s="165"/>
      <c r="G51" s="90">
        <f>SUMPRODUCT(G37:G50)</f>
        <v>33</v>
      </c>
      <c r="H51" s="91"/>
      <c r="I51" s="91"/>
      <c r="J51" s="90"/>
      <c r="K51" s="91"/>
      <c r="L51" s="91"/>
    </row>
    <row r="52" spans="1:13" ht="17.100000000000001" customHeight="1" x14ac:dyDescent="0.25">
      <c r="A52" s="159"/>
      <c r="B52" s="159"/>
      <c r="C52" s="159"/>
      <c r="D52" s="94">
        <f>SUMPRODUCT(D30)</f>
        <v>121</v>
      </c>
      <c r="E52" s="164"/>
      <c r="F52" s="165"/>
      <c r="G52" s="95">
        <f>SUMPRODUCT(G8:G29)</f>
        <v>29</v>
      </c>
      <c r="H52" s="96"/>
      <c r="I52" s="96"/>
      <c r="J52" s="95">
        <f>J30</f>
        <v>0</v>
      </c>
      <c r="K52" s="96"/>
      <c r="L52" s="96"/>
      <c r="M52"/>
    </row>
    <row r="53" spans="1:13" ht="17.100000000000001" customHeight="1" x14ac:dyDescent="0.25">
      <c r="A53" s="123"/>
      <c r="B53" s="127"/>
      <c r="C53" s="128"/>
      <c r="D53" s="129"/>
      <c r="E53" s="100"/>
      <c r="F53" s="96"/>
      <c r="G53" s="96"/>
      <c r="H53" s="96"/>
      <c r="I53" s="96"/>
      <c r="J53" s="96"/>
      <c r="K53" s="96"/>
      <c r="L53" s="96"/>
      <c r="M53"/>
    </row>
    <row r="54" spans="1:13" ht="17.100000000000001" customHeight="1" x14ac:dyDescent="0.25">
      <c r="A54" s="148" t="s">
        <v>59</v>
      </c>
      <c r="B54" s="149"/>
      <c r="C54" s="150">
        <v>46025</v>
      </c>
      <c r="D54" s="90">
        <v>32</v>
      </c>
      <c r="E54" s="160"/>
      <c r="F54" s="161"/>
      <c r="G54" s="130">
        <v>11</v>
      </c>
      <c r="H54" s="131"/>
      <c r="I54" s="131"/>
      <c r="J54" s="130"/>
      <c r="K54" s="131"/>
      <c r="L54" s="131"/>
      <c r="M54"/>
    </row>
    <row r="55" spans="1:13" ht="17.100000000000001" customHeight="1" x14ac:dyDescent="0.25">
      <c r="A55" s="123"/>
      <c r="B55" s="127"/>
      <c r="C55" s="128"/>
      <c r="D55" s="129"/>
      <c r="E55" s="161"/>
      <c r="F55" s="161"/>
      <c r="G55" s="131"/>
      <c r="H55" s="131"/>
      <c r="I55" s="131"/>
      <c r="J55" s="131"/>
      <c r="K55" s="131"/>
      <c r="L55" s="131"/>
      <c r="M55"/>
    </row>
    <row r="56" spans="1:13" ht="17.100000000000001" customHeight="1" x14ac:dyDescent="0.25">
      <c r="A56" s="156" t="s">
        <v>20</v>
      </c>
      <c r="B56" s="157"/>
      <c r="C56" s="158"/>
      <c r="D56" s="97">
        <f>D34+D51-D36-D52-D54</f>
        <v>-2</v>
      </c>
      <c r="E56" s="160"/>
      <c r="F56" s="161"/>
      <c r="G56" s="130">
        <f>G34+G51-G36-G52-G54</f>
        <v>0</v>
      </c>
      <c r="H56" s="131"/>
      <c r="I56" s="131"/>
      <c r="J56" s="130">
        <f>J34+J51-J36-J52-J54</f>
        <v>0</v>
      </c>
      <c r="K56" s="131"/>
      <c r="L56" s="131"/>
    </row>
    <row r="57" spans="1:13" ht="17.100000000000001" customHeight="1" thickBot="1" x14ac:dyDescent="0.3">
      <c r="A57" s="123"/>
      <c r="B57" s="123"/>
      <c r="C57" s="123"/>
      <c r="G57" s="122"/>
    </row>
    <row r="58" spans="1:13" ht="17.100000000000001" customHeight="1" thickBot="1" x14ac:dyDescent="0.3">
      <c r="A58" s="159" t="s">
        <v>21</v>
      </c>
      <c r="B58" s="159"/>
      <c r="C58" s="159"/>
      <c r="D58" s="86">
        <f>D31*1.7</f>
        <v>173.4</v>
      </c>
      <c r="G58" s="103">
        <f>G30*0.7</f>
        <v>20.299999999999997</v>
      </c>
      <c r="L58" s="132">
        <f>G58+D58</f>
        <v>193.7</v>
      </c>
    </row>
  </sheetData>
  <mergeCells count="12">
    <mergeCell ref="A1:M1"/>
    <mergeCell ref="A4:M4"/>
    <mergeCell ref="A5:M5"/>
    <mergeCell ref="A56:C56"/>
    <mergeCell ref="A58:C58"/>
    <mergeCell ref="E54:F54"/>
    <mergeCell ref="E55:F55"/>
    <mergeCell ref="E56:F56"/>
    <mergeCell ref="A36:C36"/>
    <mergeCell ref="A52:C52"/>
    <mergeCell ref="E37:F52"/>
    <mergeCell ref="K41:M41"/>
  </mergeCells>
  <pageMargins left="0.23622047244094491" right="0.15748031496062992" top="0.31496062992125984" bottom="0.31496062992125984" header="0.31496062992125984" footer="0.31496062992125984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G11" sqref="G11"/>
    </sheetView>
  </sheetViews>
  <sheetFormatPr defaultColWidth="21" defaultRowHeight="17.100000000000001" customHeight="1" x14ac:dyDescent="0.25"/>
  <cols>
    <col min="1" max="1" width="6.28515625" style="16" customWidth="1"/>
    <col min="2" max="2" width="18.7109375" style="13" customWidth="1"/>
    <col min="3" max="3" width="16.140625" style="13" customWidth="1"/>
    <col min="4" max="4" width="22.5703125" style="14" customWidth="1"/>
    <col min="5" max="5" width="18" style="15" customWidth="1"/>
    <col min="6" max="16384" width="21" style="16"/>
  </cols>
  <sheetData>
    <row r="1" spans="2:5" ht="1.5" customHeight="1" x14ac:dyDescent="0.25"/>
    <row r="2" spans="2:5" ht="17.100000000000001" customHeight="1" x14ac:dyDescent="0.3">
      <c r="B2" s="17"/>
      <c r="C2" s="17" t="s">
        <v>3</v>
      </c>
      <c r="D2" s="18"/>
      <c r="E2" s="17"/>
    </row>
    <row r="3" spans="2:5" ht="14.25" customHeight="1" x14ac:dyDescent="0.3">
      <c r="B3" s="19" t="s">
        <v>0</v>
      </c>
      <c r="C3" s="168" t="s">
        <v>15</v>
      </c>
      <c r="D3" s="169"/>
      <c r="E3" s="17"/>
    </row>
    <row r="4" spans="2:5" ht="14.25" customHeight="1" x14ac:dyDescent="0.3">
      <c r="B4" s="19">
        <v>101</v>
      </c>
      <c r="C4" s="20"/>
      <c r="D4" s="21"/>
      <c r="E4" s="17"/>
    </row>
    <row r="5" spans="2:5" ht="14.25" customHeight="1" x14ac:dyDescent="0.3">
      <c r="B5" s="19">
        <v>201</v>
      </c>
      <c r="C5" s="22"/>
      <c r="D5" s="23"/>
      <c r="E5" s="17"/>
    </row>
    <row r="6" spans="2:5" ht="14.25" customHeight="1" x14ac:dyDescent="0.3">
      <c r="B6" s="19">
        <v>301</v>
      </c>
      <c r="C6" s="20"/>
      <c r="D6" s="21"/>
      <c r="E6" s="17"/>
    </row>
    <row r="7" spans="2:5" ht="14.25" customHeight="1" x14ac:dyDescent="0.3">
      <c r="B7" s="19">
        <v>401</v>
      </c>
      <c r="C7" s="22"/>
      <c r="D7" s="23"/>
      <c r="E7" s="17"/>
    </row>
    <row r="8" spans="2:5" ht="14.25" customHeight="1" x14ac:dyDescent="0.3">
      <c r="B8" s="19">
        <v>501</v>
      </c>
      <c r="C8" s="20"/>
      <c r="D8" s="21"/>
      <c r="E8" s="17"/>
    </row>
    <row r="9" spans="2:5" ht="14.25" customHeight="1" x14ac:dyDescent="0.3">
      <c r="B9" s="19">
        <v>601</v>
      </c>
      <c r="C9" s="22"/>
      <c r="D9" s="23"/>
      <c r="E9" s="17"/>
    </row>
    <row r="10" spans="2:5" ht="14.25" customHeight="1" x14ac:dyDescent="0.3">
      <c r="B10" s="19">
        <v>701</v>
      </c>
      <c r="C10" s="20"/>
      <c r="D10" s="21"/>
      <c r="E10" s="17"/>
    </row>
    <row r="11" spans="2:5" ht="14.25" customHeight="1" x14ac:dyDescent="0.3">
      <c r="B11" s="19">
        <v>801</v>
      </c>
      <c r="C11" s="22"/>
      <c r="D11" s="23"/>
      <c r="E11" s="17"/>
    </row>
    <row r="12" spans="2:5" ht="14.25" customHeight="1" x14ac:dyDescent="0.3">
      <c r="B12" s="19">
        <v>901</v>
      </c>
      <c r="C12" s="20"/>
      <c r="D12" s="21"/>
      <c r="E12" s="17"/>
    </row>
    <row r="13" spans="2:5" ht="14.25" customHeight="1" x14ac:dyDescent="0.3">
      <c r="B13" s="19">
        <v>1001</v>
      </c>
      <c r="C13" s="22"/>
      <c r="D13" s="23"/>
      <c r="E13" s="17"/>
    </row>
    <row r="14" spans="2:5" ht="14.25" customHeight="1" x14ac:dyDescent="0.3">
      <c r="B14" s="19">
        <v>1101</v>
      </c>
      <c r="C14" s="20"/>
      <c r="D14" s="21"/>
      <c r="E14" s="17"/>
    </row>
    <row r="15" spans="2:5" ht="14.25" customHeight="1" x14ac:dyDescent="0.3">
      <c r="B15" s="19">
        <v>1201</v>
      </c>
      <c r="C15" s="22"/>
      <c r="D15" s="23"/>
      <c r="E15" s="17"/>
    </row>
    <row r="16" spans="2:5" ht="14.25" customHeight="1" x14ac:dyDescent="0.3">
      <c r="B16" s="19">
        <v>1301</v>
      </c>
      <c r="C16" s="20"/>
      <c r="D16" s="21"/>
      <c r="E16" s="17"/>
    </row>
    <row r="17" spans="1:5" ht="14.25" customHeight="1" x14ac:dyDescent="0.3">
      <c r="B17" s="19">
        <v>1401</v>
      </c>
      <c r="C17" s="22"/>
      <c r="D17" s="23"/>
      <c r="E17" s="17"/>
    </row>
    <row r="18" spans="1:5" ht="14.25" customHeight="1" x14ac:dyDescent="0.3">
      <c r="B18" s="19">
        <v>1501</v>
      </c>
      <c r="C18" s="20"/>
      <c r="D18" s="21"/>
      <c r="E18" s="17"/>
    </row>
    <row r="19" spans="1:5" ht="14.25" customHeight="1" x14ac:dyDescent="0.3">
      <c r="B19" s="19">
        <v>1601</v>
      </c>
      <c r="C19" s="22"/>
      <c r="D19" s="23"/>
      <c r="E19" s="17"/>
    </row>
    <row r="20" spans="1:5" ht="14.25" customHeight="1" x14ac:dyDescent="0.3">
      <c r="B20" s="19">
        <v>1701</v>
      </c>
      <c r="C20" s="20"/>
      <c r="D20" s="21"/>
      <c r="E20" s="17"/>
    </row>
    <row r="21" spans="1:5" ht="14.25" customHeight="1" x14ac:dyDescent="0.3">
      <c r="B21" s="19">
        <v>1801</v>
      </c>
      <c r="C21" s="22"/>
      <c r="D21" s="23"/>
      <c r="E21" s="17"/>
    </row>
    <row r="22" spans="1:5" ht="14.25" customHeight="1" x14ac:dyDescent="0.3">
      <c r="B22" s="19">
        <v>1901</v>
      </c>
      <c r="C22" s="20"/>
      <c r="D22" s="21"/>
      <c r="E22" s="17"/>
    </row>
    <row r="23" spans="1:5" ht="14.25" customHeight="1" x14ac:dyDescent="0.3">
      <c r="B23" s="19">
        <v>2001</v>
      </c>
      <c r="C23" s="24"/>
      <c r="D23" s="25"/>
      <c r="E23" s="17"/>
    </row>
    <row r="24" spans="1:5" ht="14.25" customHeight="1" x14ac:dyDescent="0.3">
      <c r="B24" s="20" t="s">
        <v>4</v>
      </c>
      <c r="C24" s="20"/>
      <c r="D24" s="21"/>
      <c r="E24" s="17"/>
    </row>
    <row r="25" spans="1:5" ht="17.100000000000001" customHeight="1" x14ac:dyDescent="0.3">
      <c r="B25" s="17"/>
      <c r="C25" s="17"/>
      <c r="D25" s="18"/>
      <c r="E25" s="17"/>
    </row>
    <row r="26" spans="1:5" ht="17.100000000000001" customHeight="1" x14ac:dyDescent="0.3">
      <c r="B26" s="17"/>
      <c r="C26" s="17"/>
      <c r="D26" s="18"/>
      <c r="E26" s="17"/>
    </row>
    <row r="27" spans="1:5" ht="17.100000000000001" customHeight="1" x14ac:dyDescent="0.3">
      <c r="B27" s="17"/>
      <c r="C27" s="17"/>
      <c r="D27" s="18"/>
      <c r="E27" s="17"/>
    </row>
    <row r="28" spans="1:5" ht="17.100000000000001" customHeight="1" x14ac:dyDescent="0.3">
      <c r="A28" s="14"/>
      <c r="B28" s="17"/>
      <c r="C28" s="26"/>
      <c r="D28" s="26"/>
      <c r="E28" s="26"/>
    </row>
    <row r="29" spans="1:5" ht="17.100000000000001" customHeight="1" x14ac:dyDescent="0.3">
      <c r="A29" s="14"/>
      <c r="B29" s="17"/>
      <c r="C29" s="26"/>
      <c r="D29" s="26"/>
      <c r="E29" s="26"/>
    </row>
    <row r="30" spans="1:5" ht="17.100000000000001" customHeight="1" x14ac:dyDescent="0.3">
      <c r="A30" s="14"/>
      <c r="B30" s="17"/>
      <c r="C30" s="26"/>
      <c r="D30" s="26"/>
      <c r="E30" s="26"/>
    </row>
    <row r="31" spans="1:5" ht="17.100000000000001" customHeight="1" x14ac:dyDescent="0.3">
      <c r="A31" s="14"/>
      <c r="B31" s="17"/>
      <c r="C31" s="26"/>
      <c r="D31" s="26"/>
      <c r="E31" s="26"/>
    </row>
    <row r="32" spans="1:5" ht="17.100000000000001" customHeight="1" x14ac:dyDescent="0.3">
      <c r="A32" s="14"/>
      <c r="B32" s="17"/>
      <c r="C32" s="26"/>
      <c r="D32" s="26"/>
      <c r="E32" s="26"/>
    </row>
    <row r="33" spans="1:5" ht="17.100000000000001" customHeight="1" x14ac:dyDescent="0.3">
      <c r="A33" s="14"/>
      <c r="B33" s="17"/>
      <c r="C33" s="26"/>
      <c r="D33" s="26"/>
      <c r="E33" s="26"/>
    </row>
    <row r="34" spans="1:5" ht="17.100000000000001" customHeight="1" x14ac:dyDescent="0.3">
      <c r="A34" s="14"/>
      <c r="B34" s="17"/>
      <c r="C34" s="26"/>
      <c r="D34" s="26"/>
      <c r="E34" s="26"/>
    </row>
  </sheetData>
  <mergeCells count="1">
    <mergeCell ref="C3:D3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opLeftCell="A40" zoomScale="70" zoomScaleNormal="70" workbookViewId="0">
      <selection activeCell="E51" sqref="E51"/>
    </sheetView>
  </sheetViews>
  <sheetFormatPr defaultRowHeight="15" x14ac:dyDescent="0.25"/>
  <cols>
    <col min="1" max="1" width="47.85546875" bestFit="1" customWidth="1"/>
    <col min="2" max="2" width="19.85546875" customWidth="1"/>
    <col min="3" max="3" width="11.5703125" bestFit="1" customWidth="1"/>
    <col min="4" max="4" width="12.5703125" bestFit="1" customWidth="1"/>
    <col min="5" max="5" width="12.42578125" bestFit="1" customWidth="1"/>
    <col min="6" max="6" width="13.85546875" bestFit="1" customWidth="1"/>
    <col min="7" max="7" width="12.140625" bestFit="1" customWidth="1"/>
    <col min="8" max="8" width="13" bestFit="1" customWidth="1"/>
    <col min="9" max="9" width="12.42578125" bestFit="1" customWidth="1"/>
    <col min="11" max="11" width="11.42578125" bestFit="1" customWidth="1"/>
    <col min="12" max="12" width="10.140625" bestFit="1" customWidth="1"/>
    <col min="13" max="13" width="16.5703125" bestFit="1" customWidth="1"/>
  </cols>
  <sheetData>
    <row r="1" spans="1:15" ht="18.75" x14ac:dyDescent="0.3">
      <c r="A1" s="179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  <c r="N1" s="28"/>
      <c r="O1" s="28"/>
    </row>
    <row r="2" spans="1:15" ht="18.75" x14ac:dyDescent="0.3">
      <c r="A2" s="182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4"/>
      <c r="N2" s="28"/>
      <c r="O2" s="28"/>
    </row>
    <row r="3" spans="1:15" ht="18.75" x14ac:dyDescent="0.3">
      <c r="A3" s="182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28"/>
      <c r="O3" s="28"/>
    </row>
    <row r="4" spans="1:15" ht="5.25" customHeight="1" x14ac:dyDescent="0.3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4"/>
      <c r="N4" s="28"/>
      <c r="O4" s="28"/>
    </row>
    <row r="5" spans="1:15" ht="18.75" x14ac:dyDescent="0.3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28"/>
      <c r="O5" s="28"/>
    </row>
    <row r="6" spans="1:15" ht="18.75" x14ac:dyDescent="0.3">
      <c r="A6" s="182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28"/>
      <c r="O6" s="28"/>
    </row>
    <row r="7" spans="1:15" ht="21" x14ac:dyDescent="0.35">
      <c r="A7" s="185" t="s">
        <v>48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7"/>
      <c r="N7" s="28"/>
      <c r="O7" s="28"/>
    </row>
    <row r="8" spans="1:15" ht="18.75" x14ac:dyDescent="0.3">
      <c r="A8" s="188">
        <v>44317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  <c r="N8" s="28"/>
      <c r="O8" s="28"/>
    </row>
    <row r="9" spans="1:15" ht="19.5" thickBot="1" x14ac:dyDescent="0.35">
      <c r="A9" s="29"/>
      <c r="B9" s="30"/>
      <c r="C9" s="30"/>
      <c r="D9" s="30"/>
      <c r="E9" s="31"/>
      <c r="F9" s="31"/>
      <c r="G9" s="31"/>
      <c r="H9" s="31"/>
      <c r="I9" s="31"/>
      <c r="J9" s="31"/>
      <c r="K9" s="32"/>
      <c r="L9" s="30"/>
      <c r="M9" s="33"/>
      <c r="N9" s="28"/>
      <c r="O9" s="28"/>
    </row>
    <row r="10" spans="1:15" ht="15" customHeight="1" x14ac:dyDescent="0.3">
      <c r="A10" s="34" t="s">
        <v>17</v>
      </c>
      <c r="B10" s="35" t="s">
        <v>40</v>
      </c>
      <c r="C10" s="36" t="s">
        <v>0</v>
      </c>
      <c r="D10" s="34" t="s">
        <v>41</v>
      </c>
      <c r="E10" s="37" t="s">
        <v>42</v>
      </c>
      <c r="F10" s="38" t="s">
        <v>2</v>
      </c>
      <c r="G10" s="39" t="s">
        <v>43</v>
      </c>
      <c r="H10" s="37" t="s">
        <v>42</v>
      </c>
      <c r="I10" s="38" t="s">
        <v>2</v>
      </c>
      <c r="J10" s="39" t="s">
        <v>44</v>
      </c>
      <c r="K10" s="35" t="s">
        <v>42</v>
      </c>
      <c r="L10" s="36" t="s">
        <v>2</v>
      </c>
      <c r="M10" s="40"/>
      <c r="N10" s="28"/>
      <c r="O10" s="28"/>
    </row>
    <row r="11" spans="1:15" ht="15" customHeight="1" x14ac:dyDescent="0.3">
      <c r="A11" s="27" t="s">
        <v>31</v>
      </c>
      <c r="B11" s="3"/>
      <c r="C11" s="4">
        <v>101</v>
      </c>
      <c r="D11" s="1"/>
      <c r="E11" s="42">
        <v>10.8</v>
      </c>
      <c r="F11" s="43">
        <f t="shared" ref="F11:F33" si="0">D11*E11</f>
        <v>0</v>
      </c>
      <c r="G11" s="12"/>
      <c r="H11" s="42">
        <v>5</v>
      </c>
      <c r="I11" s="43">
        <f t="shared" ref="I11:I33" si="1">G11*H11</f>
        <v>0</v>
      </c>
      <c r="J11" s="44"/>
      <c r="K11" s="42">
        <v>6.5</v>
      </c>
      <c r="L11" s="45">
        <f t="shared" ref="L11:L33" si="2">J11*K11</f>
        <v>0</v>
      </c>
      <c r="M11" s="46">
        <f t="shared" ref="M11:M33" si="3">F11+I11+L11</f>
        <v>0</v>
      </c>
      <c r="N11" s="28"/>
      <c r="O11" s="28"/>
    </row>
    <row r="12" spans="1:15" ht="15" customHeight="1" x14ac:dyDescent="0.3">
      <c r="A12" s="2"/>
      <c r="B12" s="3"/>
      <c r="C12" s="4">
        <v>201</v>
      </c>
      <c r="D12" s="1"/>
      <c r="E12" s="42">
        <v>10.8</v>
      </c>
      <c r="F12" s="43">
        <f t="shared" si="0"/>
        <v>0</v>
      </c>
      <c r="G12" s="12"/>
      <c r="H12" s="42">
        <v>5</v>
      </c>
      <c r="I12" s="43">
        <f t="shared" si="1"/>
        <v>0</v>
      </c>
      <c r="J12" s="44"/>
      <c r="K12" s="42">
        <v>6.5</v>
      </c>
      <c r="L12" s="45">
        <f t="shared" si="2"/>
        <v>0</v>
      </c>
      <c r="M12" s="46">
        <f t="shared" si="3"/>
        <v>0</v>
      </c>
      <c r="N12" s="28"/>
      <c r="O12" s="28"/>
    </row>
    <row r="13" spans="1:15" ht="15" customHeight="1" x14ac:dyDescent="0.3">
      <c r="A13" s="2"/>
      <c r="B13" s="3"/>
      <c r="C13" s="4">
        <v>301</v>
      </c>
      <c r="D13" s="1"/>
      <c r="E13" s="42">
        <v>10.8</v>
      </c>
      <c r="F13" s="43">
        <f t="shared" si="0"/>
        <v>0</v>
      </c>
      <c r="G13" s="12"/>
      <c r="H13" s="42">
        <v>5</v>
      </c>
      <c r="I13" s="43">
        <f t="shared" si="1"/>
        <v>0</v>
      </c>
      <c r="J13" s="44"/>
      <c r="K13" s="42">
        <v>6.5</v>
      </c>
      <c r="L13" s="45">
        <f t="shared" si="2"/>
        <v>0</v>
      </c>
      <c r="M13" s="46">
        <f t="shared" si="3"/>
        <v>0</v>
      </c>
      <c r="N13" s="28"/>
      <c r="O13" s="28"/>
    </row>
    <row r="14" spans="1:15" ht="15" customHeight="1" x14ac:dyDescent="0.3">
      <c r="A14" s="2" t="s">
        <v>18</v>
      </c>
      <c r="B14" s="3"/>
      <c r="C14" s="4">
        <v>401</v>
      </c>
      <c r="D14" s="1"/>
      <c r="E14" s="42">
        <v>10.8</v>
      </c>
      <c r="F14" s="43">
        <f t="shared" si="0"/>
        <v>0</v>
      </c>
      <c r="G14" s="12"/>
      <c r="H14" s="42">
        <v>5</v>
      </c>
      <c r="I14" s="43">
        <f t="shared" si="1"/>
        <v>0</v>
      </c>
      <c r="J14" s="44"/>
      <c r="K14" s="42">
        <v>6.5</v>
      </c>
      <c r="L14" s="45">
        <f t="shared" si="2"/>
        <v>0</v>
      </c>
      <c r="M14" s="46">
        <f t="shared" si="3"/>
        <v>0</v>
      </c>
      <c r="N14" s="28"/>
      <c r="O14" s="28"/>
    </row>
    <row r="15" spans="1:15" ht="15" customHeight="1" x14ac:dyDescent="0.3">
      <c r="A15" s="2"/>
      <c r="B15" s="3"/>
      <c r="C15" s="4">
        <v>501</v>
      </c>
      <c r="D15" s="1"/>
      <c r="E15" s="42">
        <v>10.8</v>
      </c>
      <c r="F15" s="43">
        <f t="shared" si="0"/>
        <v>0</v>
      </c>
      <c r="G15" s="12"/>
      <c r="H15" s="42">
        <v>5</v>
      </c>
      <c r="I15" s="43">
        <f t="shared" si="1"/>
        <v>0</v>
      </c>
      <c r="J15" s="44"/>
      <c r="K15" s="42">
        <v>6.5</v>
      </c>
      <c r="L15" s="45">
        <f t="shared" si="2"/>
        <v>0</v>
      </c>
      <c r="M15" s="46">
        <f t="shared" si="3"/>
        <v>0</v>
      </c>
      <c r="N15" s="28"/>
      <c r="O15" s="28"/>
    </row>
    <row r="16" spans="1:15" ht="15" customHeight="1" x14ac:dyDescent="0.3">
      <c r="A16" s="2" t="s">
        <v>6</v>
      </c>
      <c r="B16" s="3"/>
      <c r="C16" s="4">
        <v>601</v>
      </c>
      <c r="D16" s="1"/>
      <c r="E16" s="42">
        <v>10.8</v>
      </c>
      <c r="F16" s="43">
        <f t="shared" si="0"/>
        <v>0</v>
      </c>
      <c r="G16" s="12"/>
      <c r="H16" s="42">
        <v>5</v>
      </c>
      <c r="I16" s="43">
        <f t="shared" si="1"/>
        <v>0</v>
      </c>
      <c r="J16" s="44"/>
      <c r="K16" s="42">
        <v>6.5</v>
      </c>
      <c r="L16" s="45">
        <f t="shared" si="2"/>
        <v>0</v>
      </c>
      <c r="M16" s="46">
        <f t="shared" si="3"/>
        <v>0</v>
      </c>
      <c r="N16" s="28"/>
      <c r="O16" s="28"/>
    </row>
    <row r="17" spans="1:15" ht="15" customHeight="1" x14ac:dyDescent="0.3">
      <c r="A17" s="2" t="s">
        <v>7</v>
      </c>
      <c r="B17" s="3"/>
      <c r="C17" s="4">
        <v>701</v>
      </c>
      <c r="D17" s="1"/>
      <c r="E17" s="42">
        <v>10.8</v>
      </c>
      <c r="F17" s="43">
        <f t="shared" si="0"/>
        <v>0</v>
      </c>
      <c r="G17" s="12"/>
      <c r="H17" s="42">
        <v>5</v>
      </c>
      <c r="I17" s="43">
        <f t="shared" si="1"/>
        <v>0</v>
      </c>
      <c r="J17" s="44"/>
      <c r="K17" s="42">
        <v>6.5</v>
      </c>
      <c r="L17" s="45">
        <f t="shared" si="2"/>
        <v>0</v>
      </c>
      <c r="M17" s="46">
        <f t="shared" si="3"/>
        <v>0</v>
      </c>
      <c r="N17" s="28"/>
      <c r="O17" s="28"/>
    </row>
    <row r="18" spans="1:15" ht="15" customHeight="1" x14ac:dyDescent="0.3">
      <c r="A18" s="2" t="s">
        <v>8</v>
      </c>
      <c r="B18" s="3"/>
      <c r="C18" s="5">
        <v>801</v>
      </c>
      <c r="D18" s="1"/>
      <c r="E18" s="42">
        <v>10.8</v>
      </c>
      <c r="F18" s="43">
        <f t="shared" si="0"/>
        <v>0</v>
      </c>
      <c r="G18" s="12"/>
      <c r="H18" s="42">
        <v>5</v>
      </c>
      <c r="I18" s="43">
        <f t="shared" si="1"/>
        <v>0</v>
      </c>
      <c r="J18" s="44"/>
      <c r="K18" s="42">
        <v>6.5</v>
      </c>
      <c r="L18" s="45">
        <f t="shared" si="2"/>
        <v>0</v>
      </c>
      <c r="M18" s="46">
        <f t="shared" si="3"/>
        <v>0</v>
      </c>
      <c r="N18" s="28"/>
      <c r="O18" s="28"/>
    </row>
    <row r="19" spans="1:15" ht="15" customHeight="1" x14ac:dyDescent="0.3">
      <c r="A19" s="2"/>
      <c r="B19" s="3"/>
      <c r="C19" s="4">
        <v>901</v>
      </c>
      <c r="D19" s="1"/>
      <c r="E19" s="42">
        <v>10.8</v>
      </c>
      <c r="F19" s="43">
        <f t="shared" si="0"/>
        <v>0</v>
      </c>
      <c r="G19" s="12"/>
      <c r="H19" s="42">
        <v>5</v>
      </c>
      <c r="I19" s="43">
        <f t="shared" si="1"/>
        <v>0</v>
      </c>
      <c r="J19" s="44"/>
      <c r="K19" s="42">
        <v>6.5</v>
      </c>
      <c r="L19" s="45">
        <f t="shared" si="2"/>
        <v>0</v>
      </c>
      <c r="M19" s="46">
        <f t="shared" si="3"/>
        <v>0</v>
      </c>
      <c r="N19" s="28"/>
      <c r="O19" s="28"/>
    </row>
    <row r="20" spans="1:15" ht="15" customHeight="1" x14ac:dyDescent="0.3">
      <c r="A20" s="2" t="s">
        <v>9</v>
      </c>
      <c r="B20" s="3"/>
      <c r="C20" s="4">
        <v>1001</v>
      </c>
      <c r="D20" s="1"/>
      <c r="E20" s="42">
        <v>10.8</v>
      </c>
      <c r="F20" s="43">
        <f t="shared" si="0"/>
        <v>0</v>
      </c>
      <c r="G20" s="12"/>
      <c r="H20" s="42">
        <v>5</v>
      </c>
      <c r="I20" s="43">
        <f t="shared" si="1"/>
        <v>0</v>
      </c>
      <c r="J20" s="44"/>
      <c r="K20" s="42">
        <v>6.5</v>
      </c>
      <c r="L20" s="45">
        <f t="shared" si="2"/>
        <v>0</v>
      </c>
      <c r="M20" s="46">
        <f t="shared" si="3"/>
        <v>0</v>
      </c>
      <c r="N20" s="28"/>
      <c r="O20" s="28"/>
    </row>
    <row r="21" spans="1:15" ht="15" customHeight="1" x14ac:dyDescent="0.3">
      <c r="A21" s="6"/>
      <c r="B21" s="7"/>
      <c r="C21" s="4">
        <v>1101</v>
      </c>
      <c r="D21" s="1"/>
      <c r="E21" s="42">
        <v>10.8</v>
      </c>
      <c r="F21" s="43">
        <f t="shared" si="0"/>
        <v>0</v>
      </c>
      <c r="G21" s="12"/>
      <c r="H21" s="42">
        <v>5</v>
      </c>
      <c r="I21" s="43">
        <f t="shared" si="1"/>
        <v>0</v>
      </c>
      <c r="J21" s="44"/>
      <c r="K21" s="42">
        <v>6.5</v>
      </c>
      <c r="L21" s="45">
        <f t="shared" si="2"/>
        <v>0</v>
      </c>
      <c r="M21" s="46">
        <f t="shared" si="3"/>
        <v>0</v>
      </c>
      <c r="N21" s="28"/>
      <c r="O21" s="28"/>
    </row>
    <row r="22" spans="1:15" ht="15" customHeight="1" x14ac:dyDescent="0.3">
      <c r="A22" s="6" t="s">
        <v>10</v>
      </c>
      <c r="B22" s="7"/>
      <c r="C22" s="4">
        <v>1201</v>
      </c>
      <c r="D22" s="1"/>
      <c r="E22" s="42">
        <v>10.8</v>
      </c>
      <c r="F22" s="43">
        <f t="shared" si="0"/>
        <v>0</v>
      </c>
      <c r="G22" s="12"/>
      <c r="H22" s="42">
        <v>5</v>
      </c>
      <c r="I22" s="43">
        <f t="shared" si="1"/>
        <v>0</v>
      </c>
      <c r="J22" s="44"/>
      <c r="K22" s="42">
        <v>6.5</v>
      </c>
      <c r="L22" s="45">
        <f t="shared" si="2"/>
        <v>0</v>
      </c>
      <c r="M22" s="46">
        <f t="shared" si="3"/>
        <v>0</v>
      </c>
      <c r="N22" s="28"/>
      <c r="O22" s="28"/>
    </row>
    <row r="23" spans="1:15" ht="15" customHeight="1" x14ac:dyDescent="0.3">
      <c r="A23" s="2"/>
      <c r="B23" s="3"/>
      <c r="C23" s="4">
        <v>1301</v>
      </c>
      <c r="D23" s="1"/>
      <c r="E23" s="42">
        <v>10.8</v>
      </c>
      <c r="F23" s="43">
        <f t="shared" si="0"/>
        <v>0</v>
      </c>
      <c r="G23" s="12"/>
      <c r="H23" s="42">
        <v>5</v>
      </c>
      <c r="I23" s="43">
        <f t="shared" si="1"/>
        <v>0</v>
      </c>
      <c r="J23" s="44"/>
      <c r="K23" s="42">
        <v>6.5</v>
      </c>
      <c r="L23" s="45">
        <f t="shared" si="2"/>
        <v>0</v>
      </c>
      <c r="M23" s="46">
        <f t="shared" si="3"/>
        <v>0</v>
      </c>
      <c r="N23" s="28"/>
      <c r="O23" s="28"/>
    </row>
    <row r="24" spans="1:15" ht="15" customHeight="1" x14ac:dyDescent="0.3">
      <c r="A24" s="2" t="s">
        <v>11</v>
      </c>
      <c r="B24" s="3"/>
      <c r="C24" s="4">
        <v>1401</v>
      </c>
      <c r="D24" s="1"/>
      <c r="E24" s="42">
        <v>10.8</v>
      </c>
      <c r="F24" s="43">
        <f t="shared" si="0"/>
        <v>0</v>
      </c>
      <c r="G24" s="12"/>
      <c r="H24" s="42">
        <v>5</v>
      </c>
      <c r="I24" s="43">
        <f t="shared" si="1"/>
        <v>0</v>
      </c>
      <c r="J24" s="44"/>
      <c r="K24" s="42">
        <v>6.5</v>
      </c>
      <c r="L24" s="45">
        <f t="shared" si="2"/>
        <v>0</v>
      </c>
      <c r="M24" s="46">
        <f t="shared" si="3"/>
        <v>0</v>
      </c>
      <c r="N24" s="28"/>
      <c r="O24" s="28"/>
    </row>
    <row r="25" spans="1:15" ht="15" customHeight="1" x14ac:dyDescent="0.3">
      <c r="A25" s="2"/>
      <c r="B25" s="3"/>
      <c r="C25" s="4">
        <v>1501</v>
      </c>
      <c r="D25" s="1"/>
      <c r="E25" s="42">
        <v>10.8</v>
      </c>
      <c r="F25" s="43">
        <f t="shared" si="0"/>
        <v>0</v>
      </c>
      <c r="G25" s="12"/>
      <c r="H25" s="42">
        <v>5</v>
      </c>
      <c r="I25" s="43">
        <f t="shared" si="1"/>
        <v>0</v>
      </c>
      <c r="J25" s="44"/>
      <c r="K25" s="42">
        <v>6.5</v>
      </c>
      <c r="L25" s="45">
        <f t="shared" si="2"/>
        <v>0</v>
      </c>
      <c r="M25" s="46">
        <f t="shared" si="3"/>
        <v>0</v>
      </c>
      <c r="N25" s="28"/>
      <c r="O25" s="28"/>
    </row>
    <row r="26" spans="1:15" ht="15" customHeight="1" x14ac:dyDescent="0.3">
      <c r="A26" s="2" t="s">
        <v>12</v>
      </c>
      <c r="B26" s="3"/>
      <c r="C26" s="4">
        <v>1601</v>
      </c>
      <c r="D26" s="1"/>
      <c r="E26" s="42">
        <v>10.8</v>
      </c>
      <c r="F26" s="43">
        <f t="shared" si="0"/>
        <v>0</v>
      </c>
      <c r="G26" s="12"/>
      <c r="H26" s="42">
        <v>5</v>
      </c>
      <c r="I26" s="43">
        <f t="shared" si="1"/>
        <v>0</v>
      </c>
      <c r="J26" s="44"/>
      <c r="K26" s="42">
        <v>6.5</v>
      </c>
      <c r="L26" s="45">
        <f t="shared" si="2"/>
        <v>0</v>
      </c>
      <c r="M26" s="46">
        <f t="shared" si="3"/>
        <v>0</v>
      </c>
      <c r="N26" s="28"/>
      <c r="O26" s="28"/>
    </row>
    <row r="27" spans="1:15" ht="15" customHeight="1" x14ac:dyDescent="0.3">
      <c r="A27" s="2" t="s">
        <v>13</v>
      </c>
      <c r="B27" s="3"/>
      <c r="C27" s="4">
        <v>1701</v>
      </c>
      <c r="D27" s="1"/>
      <c r="E27" s="42">
        <v>10.8</v>
      </c>
      <c r="F27" s="43">
        <f t="shared" si="0"/>
        <v>0</v>
      </c>
      <c r="G27" s="12"/>
      <c r="H27" s="42">
        <v>5</v>
      </c>
      <c r="I27" s="43">
        <f t="shared" si="1"/>
        <v>0</v>
      </c>
      <c r="J27" s="44"/>
      <c r="K27" s="42">
        <v>6.5</v>
      </c>
      <c r="L27" s="45">
        <f t="shared" si="2"/>
        <v>0</v>
      </c>
      <c r="M27" s="46">
        <f t="shared" si="3"/>
        <v>0</v>
      </c>
      <c r="N27" s="28"/>
      <c r="O27" s="28"/>
    </row>
    <row r="28" spans="1:15" ht="15" customHeight="1" x14ac:dyDescent="0.3">
      <c r="A28" s="8" t="s">
        <v>14</v>
      </c>
      <c r="B28" s="9"/>
      <c r="C28" s="4">
        <v>1801</v>
      </c>
      <c r="D28" s="4"/>
      <c r="E28" s="42">
        <v>10.8</v>
      </c>
      <c r="F28" s="43">
        <f t="shared" si="0"/>
        <v>0</v>
      </c>
      <c r="G28" s="12"/>
      <c r="H28" s="42">
        <v>5</v>
      </c>
      <c r="I28" s="43">
        <f t="shared" si="1"/>
        <v>0</v>
      </c>
      <c r="J28" s="44"/>
      <c r="K28" s="42">
        <v>6.5</v>
      </c>
      <c r="L28" s="45">
        <f t="shared" si="2"/>
        <v>0</v>
      </c>
      <c r="M28" s="46">
        <f t="shared" si="3"/>
        <v>0</v>
      </c>
      <c r="N28" s="28"/>
      <c r="O28" s="28"/>
    </row>
    <row r="29" spans="1:15" ht="15" customHeight="1" x14ac:dyDescent="0.3">
      <c r="A29" s="2"/>
      <c r="B29" s="3"/>
      <c r="C29" s="4">
        <v>1901</v>
      </c>
      <c r="D29" s="4"/>
      <c r="E29" s="42">
        <v>10.8</v>
      </c>
      <c r="F29" s="43">
        <f t="shared" si="0"/>
        <v>0</v>
      </c>
      <c r="G29" s="12"/>
      <c r="H29" s="42">
        <v>5</v>
      </c>
      <c r="I29" s="43">
        <f t="shared" si="1"/>
        <v>0</v>
      </c>
      <c r="J29" s="44"/>
      <c r="K29" s="42">
        <v>6.5</v>
      </c>
      <c r="L29" s="45">
        <f t="shared" si="2"/>
        <v>0</v>
      </c>
      <c r="M29" s="46">
        <f t="shared" si="3"/>
        <v>0</v>
      </c>
      <c r="N29" s="28"/>
      <c r="O29" s="28"/>
    </row>
    <row r="30" spans="1:15" ht="15" customHeight="1" x14ac:dyDescent="0.3">
      <c r="A30" s="10"/>
      <c r="B30" s="11"/>
      <c r="C30" s="4">
        <v>2001</v>
      </c>
      <c r="D30" s="4"/>
      <c r="E30" s="42">
        <v>10.8</v>
      </c>
      <c r="F30" s="43">
        <f t="shared" si="0"/>
        <v>0</v>
      </c>
      <c r="G30" s="12"/>
      <c r="H30" s="42">
        <v>5</v>
      </c>
      <c r="I30" s="43">
        <f t="shared" si="1"/>
        <v>0</v>
      </c>
      <c r="J30" s="44"/>
      <c r="K30" s="42">
        <v>6.5</v>
      </c>
      <c r="L30" s="45">
        <f t="shared" si="2"/>
        <v>0</v>
      </c>
      <c r="M30" s="46">
        <f t="shared" si="3"/>
        <v>0</v>
      </c>
      <c r="N30" s="28"/>
      <c r="O30" s="28"/>
    </row>
    <row r="31" spans="1:15" ht="15" customHeight="1" x14ac:dyDescent="0.3">
      <c r="A31" s="47"/>
      <c r="B31" s="47"/>
      <c r="C31" s="41"/>
      <c r="D31" s="4"/>
      <c r="E31" s="42">
        <v>10.8</v>
      </c>
      <c r="F31" s="43">
        <f t="shared" si="0"/>
        <v>0</v>
      </c>
      <c r="G31" s="12"/>
      <c r="H31" s="42">
        <v>5</v>
      </c>
      <c r="I31" s="43">
        <f t="shared" si="1"/>
        <v>0</v>
      </c>
      <c r="J31" s="44"/>
      <c r="K31" s="42">
        <v>6.5</v>
      </c>
      <c r="L31" s="45">
        <f t="shared" si="2"/>
        <v>0</v>
      </c>
      <c r="M31" s="46">
        <f t="shared" si="3"/>
        <v>0</v>
      </c>
      <c r="N31" s="28"/>
      <c r="O31" s="28"/>
    </row>
    <row r="32" spans="1:15" ht="15" customHeight="1" x14ac:dyDescent="0.3">
      <c r="A32" s="47"/>
      <c r="B32" s="48"/>
      <c r="C32" s="41"/>
      <c r="D32" s="4"/>
      <c r="E32" s="42">
        <v>10.8</v>
      </c>
      <c r="F32" s="43">
        <f t="shared" si="0"/>
        <v>0</v>
      </c>
      <c r="G32" s="12"/>
      <c r="H32" s="42">
        <v>5</v>
      </c>
      <c r="I32" s="43">
        <f t="shared" si="1"/>
        <v>0</v>
      </c>
      <c r="J32" s="44"/>
      <c r="K32" s="42">
        <v>6.5</v>
      </c>
      <c r="L32" s="45">
        <f t="shared" si="2"/>
        <v>0</v>
      </c>
      <c r="M32" s="46">
        <f t="shared" si="3"/>
        <v>0</v>
      </c>
      <c r="N32" s="28"/>
      <c r="O32" s="28"/>
    </row>
    <row r="33" spans="1:15" ht="15" customHeight="1" thickBot="1" x14ac:dyDescent="0.35">
      <c r="A33" s="47"/>
      <c r="B33" s="47"/>
      <c r="C33" s="41"/>
      <c r="D33" s="4"/>
      <c r="E33" s="42">
        <v>10.8</v>
      </c>
      <c r="F33" s="43">
        <f t="shared" si="0"/>
        <v>0</v>
      </c>
      <c r="G33" s="12"/>
      <c r="H33" s="42">
        <v>5</v>
      </c>
      <c r="I33" s="43">
        <f t="shared" si="1"/>
        <v>0</v>
      </c>
      <c r="J33" s="44"/>
      <c r="K33" s="42">
        <v>6.5</v>
      </c>
      <c r="L33" s="45">
        <f t="shared" si="2"/>
        <v>0</v>
      </c>
      <c r="M33" s="46">
        <f t="shared" si="3"/>
        <v>0</v>
      </c>
      <c r="N33" s="28"/>
      <c r="O33" s="28"/>
    </row>
    <row r="34" spans="1:15" ht="15" customHeight="1" thickBot="1" x14ac:dyDescent="0.35">
      <c r="A34" s="49" t="s">
        <v>45</v>
      </c>
      <c r="B34" s="50"/>
      <c r="C34" s="51"/>
      <c r="D34" s="51"/>
      <c r="E34" s="42">
        <v>9.8000000000000007</v>
      </c>
      <c r="F34" s="52">
        <f>D34*E34</f>
        <v>0</v>
      </c>
      <c r="G34" s="53"/>
      <c r="H34" s="52">
        <v>4</v>
      </c>
      <c r="I34" s="52">
        <f>G34*H34</f>
        <v>0</v>
      </c>
      <c r="J34" s="53"/>
      <c r="K34" s="52">
        <v>5.5</v>
      </c>
      <c r="L34" s="54">
        <f>J34*K34</f>
        <v>0</v>
      </c>
      <c r="M34" s="55">
        <f>F34+I34+L34</f>
        <v>0</v>
      </c>
      <c r="N34" s="28"/>
      <c r="O34" s="28"/>
    </row>
    <row r="35" spans="1:15" ht="19.5" thickBot="1" x14ac:dyDescent="0.35">
      <c r="A35" s="28"/>
      <c r="B35" s="191" t="s">
        <v>2</v>
      </c>
      <c r="C35" s="192"/>
      <c r="D35" s="56">
        <f>SUM(D11:D34)</f>
        <v>0</v>
      </c>
      <c r="E35" s="193"/>
      <c r="F35" s="193"/>
      <c r="G35" s="57">
        <f>SUM(G11:G34)</f>
        <v>0</v>
      </c>
      <c r="H35" s="193"/>
      <c r="I35" s="193"/>
      <c r="J35" s="57">
        <f>SUM(J11:J34)</f>
        <v>0</v>
      </c>
      <c r="K35" s="180"/>
      <c r="L35" s="180"/>
      <c r="M35" s="58">
        <f>SUM(M11:M34)</f>
        <v>0</v>
      </c>
      <c r="N35" s="28"/>
      <c r="O35" s="28"/>
    </row>
    <row r="36" spans="1:15" ht="19.5" thickBot="1" x14ac:dyDescent="0.35">
      <c r="A36" s="28"/>
      <c r="B36" s="194" t="s">
        <v>46</v>
      </c>
      <c r="C36" s="195"/>
      <c r="D36" s="59"/>
      <c r="E36" s="60"/>
      <c r="F36" s="60"/>
      <c r="G36" s="61"/>
      <c r="H36" s="193"/>
      <c r="I36" s="193"/>
      <c r="J36" s="61"/>
      <c r="K36" s="183"/>
      <c r="L36" s="183"/>
      <c r="M36" s="28"/>
      <c r="N36" s="28"/>
      <c r="O36" s="28"/>
    </row>
    <row r="37" spans="1:15" ht="19.5" thickBot="1" x14ac:dyDescent="0.35">
      <c r="A37" s="28"/>
      <c r="B37" s="28"/>
      <c r="C37" s="28"/>
      <c r="D37" s="28"/>
      <c r="E37" s="28"/>
      <c r="F37" s="28"/>
      <c r="G37" s="28"/>
      <c r="H37" s="28"/>
      <c r="I37" s="62"/>
      <c r="J37" s="62"/>
      <c r="K37" s="63"/>
      <c r="L37" s="64"/>
      <c r="M37" s="28"/>
      <c r="N37" s="28"/>
      <c r="O37" s="28"/>
    </row>
    <row r="38" spans="1:15" ht="18.75" x14ac:dyDescent="0.3">
      <c r="A38" s="176">
        <f>A8</f>
        <v>44317</v>
      </c>
      <c r="B38" s="177"/>
      <c r="C38" s="177"/>
      <c r="D38" s="177"/>
      <c r="E38" s="178"/>
      <c r="F38" s="28"/>
      <c r="G38" s="170" t="s">
        <v>5</v>
      </c>
      <c r="H38" s="171"/>
      <c r="I38" s="62"/>
      <c r="J38" s="62"/>
      <c r="K38" s="63"/>
      <c r="L38" s="64"/>
      <c r="M38" s="28"/>
      <c r="N38" s="28"/>
      <c r="O38" s="28"/>
    </row>
    <row r="39" spans="1:15" ht="19.5" thickBot="1" x14ac:dyDescent="0.35">
      <c r="A39" s="172" t="str">
        <f>A7</f>
        <v>5 AVENIDA</v>
      </c>
      <c r="B39" s="173"/>
      <c r="C39" s="173"/>
      <c r="D39" s="173"/>
      <c r="E39" s="174"/>
      <c r="F39" s="64">
        <f>SUM(G11:G33)</f>
        <v>0</v>
      </c>
      <c r="G39" s="65" t="s">
        <v>32</v>
      </c>
      <c r="H39" s="66">
        <f>F39*0.25</f>
        <v>0</v>
      </c>
      <c r="I39" s="62"/>
      <c r="J39" s="62"/>
      <c r="K39" s="63"/>
      <c r="L39" s="64"/>
      <c r="M39" s="28"/>
      <c r="N39" s="28"/>
      <c r="O39" s="28"/>
    </row>
    <row r="40" spans="1:15" ht="19.5" thickBot="1" x14ac:dyDescent="0.35">
      <c r="A40" s="67" t="s">
        <v>33</v>
      </c>
      <c r="B40" s="67" t="s">
        <v>16</v>
      </c>
      <c r="C40" s="68" t="s">
        <v>28</v>
      </c>
      <c r="D40" s="67" t="s">
        <v>34</v>
      </c>
      <c r="E40" s="67"/>
      <c r="F40" s="64">
        <f>SUM(D11:D33,J11:J33)</f>
        <v>0</v>
      </c>
      <c r="G40" s="69" t="s">
        <v>35</v>
      </c>
      <c r="H40" s="70">
        <f>F40*0.5</f>
        <v>0</v>
      </c>
      <c r="I40" s="62"/>
      <c r="J40" s="62"/>
      <c r="K40" s="63"/>
      <c r="L40" s="64"/>
      <c r="M40" s="28"/>
      <c r="N40" s="28"/>
      <c r="O40" s="28"/>
    </row>
    <row r="41" spans="1:15" ht="19.5" thickBot="1" x14ac:dyDescent="0.35">
      <c r="A41" s="71">
        <v>44320</v>
      </c>
      <c r="B41" s="72">
        <v>45</v>
      </c>
      <c r="C41" s="72">
        <v>7</v>
      </c>
      <c r="D41" s="72">
        <v>10</v>
      </c>
      <c r="E41" s="72"/>
      <c r="F41" s="73"/>
      <c r="G41" s="74"/>
      <c r="H41" s="75">
        <f>SUM(H38:H40)</f>
        <v>0</v>
      </c>
      <c r="I41" s="62"/>
      <c r="J41" s="62"/>
      <c r="K41" s="63"/>
      <c r="L41" s="64"/>
      <c r="M41" s="28"/>
      <c r="N41" s="28"/>
      <c r="O41" s="28"/>
    </row>
    <row r="42" spans="1:15" ht="18.75" x14ac:dyDescent="0.3">
      <c r="A42" s="76" t="s">
        <v>36</v>
      </c>
      <c r="B42" s="76" t="s">
        <v>16</v>
      </c>
      <c r="C42" s="76" t="s">
        <v>28</v>
      </c>
      <c r="D42" s="76" t="s">
        <v>34</v>
      </c>
      <c r="E42" s="72"/>
      <c r="F42" s="73"/>
      <c r="G42" s="28"/>
      <c r="H42" s="28"/>
      <c r="I42" s="62"/>
      <c r="J42" s="62"/>
      <c r="K42" s="63"/>
      <c r="L42" s="64"/>
      <c r="M42" s="28"/>
      <c r="N42" s="28"/>
      <c r="O42" s="28"/>
    </row>
    <row r="43" spans="1:15" ht="18.75" x14ac:dyDescent="0.3">
      <c r="A43" s="71">
        <v>44322</v>
      </c>
      <c r="B43" s="83"/>
      <c r="C43" s="84"/>
      <c r="D43" s="72"/>
      <c r="E43" s="72"/>
      <c r="F43" s="73"/>
      <c r="G43" s="28"/>
      <c r="H43" s="28"/>
      <c r="I43" s="62"/>
      <c r="J43" s="62"/>
      <c r="K43" s="63"/>
      <c r="L43" s="64"/>
      <c r="M43" s="28"/>
      <c r="N43" s="28"/>
      <c r="O43" s="28"/>
    </row>
    <row r="44" spans="1:15" ht="18.75" x14ac:dyDescent="0.3">
      <c r="A44" s="71">
        <v>44326</v>
      </c>
      <c r="B44" s="83">
        <v>21</v>
      </c>
      <c r="C44" s="84">
        <v>0</v>
      </c>
      <c r="D44" s="72"/>
      <c r="E44" s="72"/>
      <c r="F44" s="73"/>
      <c r="G44" s="28"/>
      <c r="H44" s="28"/>
      <c r="I44" s="62"/>
      <c r="J44" s="62"/>
      <c r="K44" s="63"/>
      <c r="L44" s="64"/>
      <c r="M44" s="28"/>
      <c r="N44" s="28"/>
      <c r="O44" s="28"/>
    </row>
    <row r="45" spans="1:15" ht="18.75" x14ac:dyDescent="0.3">
      <c r="A45" s="71">
        <v>44331</v>
      </c>
      <c r="B45" s="83">
        <v>23</v>
      </c>
      <c r="C45" s="85">
        <v>3</v>
      </c>
      <c r="D45" s="72"/>
      <c r="E45" s="72"/>
      <c r="F45" s="73"/>
      <c r="L45" s="64"/>
      <c r="M45" s="28"/>
      <c r="N45" s="28"/>
      <c r="O45" s="28"/>
    </row>
    <row r="46" spans="1:15" ht="18.75" x14ac:dyDescent="0.3">
      <c r="A46" s="71">
        <v>44330</v>
      </c>
      <c r="B46" s="83">
        <v>4</v>
      </c>
      <c r="C46" s="85">
        <v>0</v>
      </c>
      <c r="D46" s="72"/>
      <c r="E46" s="72"/>
      <c r="F46" s="28"/>
      <c r="L46" s="64"/>
      <c r="M46" s="28"/>
      <c r="N46" s="28"/>
      <c r="O46" s="28"/>
    </row>
    <row r="47" spans="1:15" ht="18.75" x14ac:dyDescent="0.3">
      <c r="A47" s="71">
        <v>44333</v>
      </c>
      <c r="B47" s="83"/>
      <c r="C47" s="85">
        <v>2</v>
      </c>
      <c r="D47" s="72"/>
      <c r="E47" s="72"/>
      <c r="F47" s="28"/>
      <c r="L47" s="64"/>
      <c r="M47" s="28"/>
      <c r="N47" s="28"/>
      <c r="O47" s="28"/>
    </row>
    <row r="48" spans="1:15" ht="18.75" x14ac:dyDescent="0.3">
      <c r="A48" s="71">
        <v>44336</v>
      </c>
      <c r="B48" s="83">
        <v>7</v>
      </c>
      <c r="C48" s="85">
        <v>5</v>
      </c>
      <c r="D48" s="72"/>
      <c r="E48" s="72"/>
      <c r="F48" s="28"/>
      <c r="L48" s="64"/>
      <c r="M48" s="28"/>
      <c r="N48" s="28"/>
      <c r="O48" s="28"/>
    </row>
    <row r="49" spans="1:15" ht="18.75" x14ac:dyDescent="0.3">
      <c r="A49" s="71"/>
      <c r="B49" s="77"/>
      <c r="C49" s="85"/>
      <c r="D49" s="72"/>
      <c r="E49" s="72"/>
      <c r="F49" s="28"/>
      <c r="L49" s="64"/>
      <c r="M49" s="28"/>
      <c r="N49" s="28"/>
      <c r="O49" s="28"/>
    </row>
    <row r="50" spans="1:15" ht="18.75" x14ac:dyDescent="0.3">
      <c r="A50" s="71">
        <v>44340</v>
      </c>
      <c r="B50" s="77">
        <v>15</v>
      </c>
      <c r="C50" s="72">
        <v>3</v>
      </c>
      <c r="D50" s="72"/>
      <c r="E50" s="72"/>
      <c r="F50" s="28"/>
      <c r="L50" s="64"/>
      <c r="M50" s="28"/>
      <c r="N50" s="28"/>
      <c r="O50" s="28"/>
    </row>
    <row r="51" spans="1:15" ht="18.75" x14ac:dyDescent="0.3">
      <c r="A51" s="71">
        <v>44343</v>
      </c>
      <c r="B51" s="72">
        <v>21</v>
      </c>
      <c r="C51" s="72">
        <v>2</v>
      </c>
      <c r="D51" s="72">
        <v>5</v>
      </c>
      <c r="E51" s="72"/>
      <c r="F51" s="28"/>
      <c r="L51" s="64"/>
      <c r="M51" s="28"/>
      <c r="N51" s="28"/>
      <c r="O51" s="28"/>
    </row>
    <row r="52" spans="1:15" ht="18.75" x14ac:dyDescent="0.3">
      <c r="A52" s="71"/>
      <c r="B52" s="72"/>
      <c r="C52" s="72"/>
      <c r="D52" s="72"/>
      <c r="E52" s="72"/>
      <c r="F52" s="28"/>
      <c r="L52" s="64"/>
      <c r="M52" s="28"/>
      <c r="N52" s="28"/>
      <c r="O52" s="28"/>
    </row>
    <row r="53" spans="1:15" ht="18.75" x14ac:dyDescent="0.3">
      <c r="A53" s="71"/>
      <c r="B53" s="72"/>
      <c r="C53" s="72"/>
      <c r="D53" s="72"/>
      <c r="E53" s="72"/>
      <c r="F53" s="62"/>
      <c r="L53" s="64"/>
      <c r="M53" s="28"/>
      <c r="N53" s="28"/>
      <c r="O53" s="28"/>
    </row>
    <row r="54" spans="1:15" ht="18.75" x14ac:dyDescent="0.3">
      <c r="A54" s="72"/>
      <c r="B54" s="72"/>
      <c r="C54" s="72"/>
      <c r="D54" s="72"/>
      <c r="E54" s="72"/>
      <c r="F54" s="62"/>
      <c r="L54" s="64"/>
      <c r="M54" s="28"/>
      <c r="N54" s="28"/>
      <c r="O54" s="28"/>
    </row>
    <row r="55" spans="1:15" ht="18.75" x14ac:dyDescent="0.3">
      <c r="A55" s="71"/>
      <c r="B55" s="72"/>
      <c r="C55" s="72"/>
      <c r="D55" s="72"/>
      <c r="E55" s="72"/>
      <c r="F55" s="62"/>
      <c r="L55" s="64"/>
      <c r="M55" s="28"/>
      <c r="N55" s="28"/>
      <c r="O55" s="28"/>
    </row>
    <row r="56" spans="1:15" ht="18.75" x14ac:dyDescent="0.3">
      <c r="A56" s="72"/>
      <c r="B56" s="72"/>
      <c r="C56" s="72"/>
      <c r="D56" s="72"/>
      <c r="E56" s="72"/>
      <c r="F56" s="62"/>
      <c r="L56" s="64"/>
      <c r="M56" s="28"/>
      <c r="N56" s="28"/>
      <c r="O56" s="28"/>
    </row>
    <row r="57" spans="1:15" ht="18.75" x14ac:dyDescent="0.3">
      <c r="A57" s="76" t="s">
        <v>2</v>
      </c>
      <c r="B57" s="76" t="s">
        <v>16</v>
      </c>
      <c r="C57" s="76" t="s">
        <v>28</v>
      </c>
      <c r="D57" s="76" t="s">
        <v>34</v>
      </c>
      <c r="E57" s="76"/>
      <c r="F57" s="62"/>
      <c r="L57" s="64"/>
      <c r="M57" s="175"/>
      <c r="N57" s="175"/>
      <c r="O57" s="175"/>
    </row>
    <row r="58" spans="1:15" ht="18.75" x14ac:dyDescent="0.3">
      <c r="A58" s="72"/>
      <c r="B58" s="72">
        <f>B41+B43+B44+B45+B46+B47+B48+B49+B50+B51+B52+B53+B54+B55+B56</f>
        <v>136</v>
      </c>
      <c r="C58" s="72">
        <f t="shared" ref="C58:D58" si="4">C41+C43+C44+C45+C46+C47+C48+C49+C50+C51+C52+C53+C54+C55+C56</f>
        <v>22</v>
      </c>
      <c r="D58" s="72">
        <f t="shared" si="4"/>
        <v>15</v>
      </c>
      <c r="E58" s="72"/>
      <c r="F58" s="62"/>
      <c r="L58" s="64"/>
      <c r="M58" s="28"/>
      <c r="N58" s="28"/>
      <c r="O58" s="28"/>
    </row>
    <row r="59" spans="1:15" ht="18.75" x14ac:dyDescent="0.3">
      <c r="A59" s="76" t="s">
        <v>37</v>
      </c>
      <c r="B59" s="76" t="s">
        <v>16</v>
      </c>
      <c r="C59" s="76" t="s">
        <v>28</v>
      </c>
      <c r="D59" s="76" t="s">
        <v>34</v>
      </c>
      <c r="E59" s="76"/>
      <c r="F59" s="62"/>
      <c r="L59" s="64"/>
      <c r="M59" s="28"/>
      <c r="N59" s="28"/>
      <c r="O59" s="28"/>
    </row>
    <row r="60" spans="1:15" ht="18.75" x14ac:dyDescent="0.3">
      <c r="A60" s="71"/>
      <c r="B60" s="72"/>
      <c r="C60" s="72"/>
      <c r="D60" s="72"/>
      <c r="E60" s="72"/>
      <c r="F60" s="62"/>
      <c r="L60" s="64"/>
      <c r="M60" s="28"/>
      <c r="N60" s="28"/>
      <c r="O60" s="28"/>
    </row>
    <row r="61" spans="1:15" ht="18.75" x14ac:dyDescent="0.3">
      <c r="A61" s="76" t="s">
        <v>38</v>
      </c>
      <c r="B61" s="76" t="s">
        <v>16</v>
      </c>
      <c r="C61" s="76" t="s">
        <v>28</v>
      </c>
      <c r="D61" s="76" t="s">
        <v>34</v>
      </c>
      <c r="E61" s="76"/>
      <c r="F61" s="62"/>
      <c r="L61" s="64"/>
      <c r="M61" s="28"/>
      <c r="N61" s="28"/>
      <c r="O61" s="28"/>
    </row>
    <row r="62" spans="1:15" ht="18.75" x14ac:dyDescent="0.3">
      <c r="A62" s="72"/>
      <c r="B62" s="72">
        <f>B58-B60</f>
        <v>136</v>
      </c>
      <c r="C62" s="72">
        <f>C58-C60</f>
        <v>22</v>
      </c>
      <c r="D62" s="72">
        <f>D58-D60</f>
        <v>15</v>
      </c>
      <c r="E62" s="72"/>
      <c r="F62" s="62"/>
      <c r="O62" s="78"/>
    </row>
    <row r="63" spans="1:15" ht="18.75" x14ac:dyDescent="0.3">
      <c r="A63" s="79" t="s">
        <v>47</v>
      </c>
      <c r="B63" s="79" t="s">
        <v>16</v>
      </c>
      <c r="C63" s="79" t="s">
        <v>28</v>
      </c>
      <c r="D63" s="79" t="s">
        <v>34</v>
      </c>
      <c r="E63" s="79"/>
      <c r="F63" s="62"/>
      <c r="O63" s="60"/>
    </row>
    <row r="64" spans="1:15" ht="18.75" x14ac:dyDescent="0.3">
      <c r="A64" s="80"/>
      <c r="B64" s="80">
        <f>D35+D36</f>
        <v>0</v>
      </c>
      <c r="C64" s="80">
        <f>J35+J36</f>
        <v>0</v>
      </c>
      <c r="D64" s="80">
        <f>G35+G36</f>
        <v>0</v>
      </c>
      <c r="E64" s="80"/>
      <c r="F64" s="62"/>
      <c r="O64" s="81"/>
    </row>
    <row r="65" spans="1:15" ht="18.75" x14ac:dyDescent="0.3">
      <c r="A65" s="28"/>
      <c r="B65" s="28"/>
      <c r="C65" s="28"/>
      <c r="D65" s="28"/>
      <c r="E65" s="28"/>
      <c r="F65" s="62"/>
      <c r="O65" s="81"/>
    </row>
    <row r="66" spans="1:15" ht="18.75" x14ac:dyDescent="0.3">
      <c r="A66" s="76" t="s">
        <v>39</v>
      </c>
      <c r="B66" s="76" t="s">
        <v>16</v>
      </c>
      <c r="C66" s="76" t="s">
        <v>28</v>
      </c>
      <c r="D66" s="76" t="s">
        <v>34</v>
      </c>
      <c r="E66" s="76"/>
      <c r="F66" s="62"/>
      <c r="O66" s="81"/>
    </row>
    <row r="67" spans="1:15" ht="18.75" x14ac:dyDescent="0.3">
      <c r="A67" s="82"/>
      <c r="B67" s="82">
        <f>B64-B62</f>
        <v>-136</v>
      </c>
      <c r="C67" s="82">
        <f>C64-C62</f>
        <v>-22</v>
      </c>
      <c r="D67" s="82">
        <f>D64-D62</f>
        <v>-15</v>
      </c>
      <c r="E67" s="82"/>
      <c r="F67" s="62"/>
      <c r="O67" s="81"/>
    </row>
    <row r="68" spans="1:15" ht="18.75" x14ac:dyDescent="0.3">
      <c r="A68" s="28"/>
      <c r="B68" s="28"/>
      <c r="C68" s="28"/>
      <c r="D68" s="28"/>
      <c r="E68" s="28"/>
      <c r="F68" s="62"/>
      <c r="O68" s="81"/>
    </row>
    <row r="69" spans="1:15" ht="18.75" x14ac:dyDescent="0.3">
      <c r="A69" s="28"/>
      <c r="B69" s="28"/>
      <c r="C69" s="28"/>
      <c r="D69" s="28"/>
      <c r="E69" s="28"/>
      <c r="F69" s="62"/>
      <c r="O69" s="81"/>
    </row>
    <row r="70" spans="1:15" ht="18.75" x14ac:dyDescent="0.3">
      <c r="A70" s="28"/>
      <c r="B70" s="28"/>
      <c r="C70" s="28"/>
      <c r="D70" s="28"/>
      <c r="E70" s="28"/>
      <c r="F70" s="62"/>
      <c r="G70" s="62"/>
      <c r="H70" s="62"/>
      <c r="I70" s="62"/>
      <c r="O70" s="81"/>
    </row>
    <row r="71" spans="1:15" ht="18.75" x14ac:dyDescent="0.3">
      <c r="A71" s="28"/>
      <c r="B71" s="28"/>
      <c r="C71" s="28"/>
      <c r="D71" s="28"/>
      <c r="E71" s="28"/>
      <c r="F71" s="62"/>
      <c r="G71" s="62"/>
      <c r="H71" s="62"/>
      <c r="I71" s="62"/>
      <c r="O71" s="81"/>
    </row>
    <row r="72" spans="1:15" ht="18.75" x14ac:dyDescent="0.3">
      <c r="A72" s="28"/>
      <c r="B72" s="28"/>
      <c r="C72" s="28"/>
      <c r="D72" s="28"/>
      <c r="E72" s="28"/>
      <c r="F72" s="62"/>
      <c r="G72" s="62"/>
      <c r="H72" s="62"/>
      <c r="I72" s="62"/>
      <c r="O72" s="81"/>
    </row>
    <row r="73" spans="1:15" ht="18.75" x14ac:dyDescent="0.3">
      <c r="A73" s="28"/>
      <c r="B73" s="28"/>
      <c r="C73" s="28"/>
      <c r="D73" s="28"/>
      <c r="E73" s="28"/>
      <c r="F73" s="62"/>
      <c r="G73" s="62"/>
      <c r="H73" s="62"/>
      <c r="I73" s="62"/>
      <c r="O73" s="81"/>
    </row>
    <row r="74" spans="1:15" ht="18.75" x14ac:dyDescent="0.3">
      <c r="A74" s="28"/>
      <c r="B74" s="28"/>
      <c r="C74" s="28"/>
      <c r="D74" s="28"/>
      <c r="E74" s="28"/>
      <c r="F74" s="62"/>
      <c r="G74" s="62"/>
      <c r="H74" s="62"/>
      <c r="I74" s="62"/>
      <c r="O74" s="81"/>
    </row>
    <row r="75" spans="1:15" ht="18.75" x14ac:dyDescent="0.3">
      <c r="A75" s="28"/>
      <c r="B75" s="28"/>
      <c r="C75" s="28"/>
      <c r="D75" s="28"/>
      <c r="E75" s="28"/>
      <c r="F75" s="62"/>
      <c r="G75" s="62"/>
      <c r="H75" s="62"/>
      <c r="I75" s="62"/>
      <c r="O75" s="81"/>
    </row>
    <row r="76" spans="1:15" ht="18.75" x14ac:dyDescent="0.3">
      <c r="A76" s="28"/>
      <c r="B76" s="28"/>
      <c r="C76" s="28"/>
      <c r="D76" s="28"/>
      <c r="E76" s="28"/>
      <c r="F76" s="62"/>
      <c r="G76" s="62"/>
      <c r="H76" s="62"/>
      <c r="I76" s="62"/>
      <c r="O76" s="81"/>
    </row>
    <row r="77" spans="1:15" ht="18.75" x14ac:dyDescent="0.3">
      <c r="A77" s="28"/>
      <c r="B77" s="28"/>
      <c r="C77" s="28"/>
      <c r="D77" s="28"/>
      <c r="E77" s="28"/>
      <c r="F77" s="62"/>
      <c r="G77" s="62"/>
      <c r="H77" s="62"/>
      <c r="I77" s="62"/>
      <c r="O77" s="81"/>
    </row>
    <row r="78" spans="1:15" ht="18.75" x14ac:dyDescent="0.3">
      <c r="A78" s="28"/>
      <c r="B78" s="28"/>
      <c r="C78" s="28"/>
      <c r="D78" s="28"/>
      <c r="E78" s="28"/>
      <c r="F78" s="62"/>
      <c r="G78" s="62"/>
      <c r="H78" s="62"/>
      <c r="I78" s="62"/>
      <c r="O78" s="81"/>
    </row>
    <row r="79" spans="1:15" ht="18.75" x14ac:dyDescent="0.3">
      <c r="A79" s="28"/>
      <c r="B79" s="28"/>
      <c r="C79" s="28"/>
      <c r="D79" s="28"/>
      <c r="E79" s="28"/>
      <c r="F79" s="62"/>
      <c r="G79" s="62"/>
      <c r="H79" s="62"/>
      <c r="I79" s="62"/>
      <c r="O79" s="81"/>
    </row>
  </sheetData>
  <mergeCells count="13">
    <mergeCell ref="G38:H38"/>
    <mergeCell ref="A39:E39"/>
    <mergeCell ref="M57:O57"/>
    <mergeCell ref="A38:E38"/>
    <mergeCell ref="A1:M6"/>
    <mergeCell ref="A7:M7"/>
    <mergeCell ref="A8:M8"/>
    <mergeCell ref="B35:C35"/>
    <mergeCell ref="E35:F35"/>
    <mergeCell ref="H35:I35"/>
    <mergeCell ref="K35:L36"/>
    <mergeCell ref="B36:C36"/>
    <mergeCell ref="H36:I3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ESPELHO</vt:lpstr>
      <vt:lpstr>ASSINATURA</vt:lpstr>
      <vt:lpstr>planilha1</vt:lpstr>
      <vt:lpstr>ESPELHO!Area_de_impressao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DaFonteDistribuidora</dc:creator>
  <cp:lastModifiedBy>Larissa</cp:lastModifiedBy>
  <cp:lastPrinted>2025-06-05T12:36:29Z</cp:lastPrinted>
  <dcterms:created xsi:type="dcterms:W3CDTF">2016-09-02T12:03:22Z</dcterms:created>
  <dcterms:modified xsi:type="dcterms:W3CDTF">2026-01-06T13:49:43Z</dcterms:modified>
</cp:coreProperties>
</file>